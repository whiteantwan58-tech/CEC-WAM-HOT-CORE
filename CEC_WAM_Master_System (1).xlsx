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ONSCIOUSNESS_EQUATIONS" sheetId="2" r:id="rId5"/>
    <sheet state="visible" name="MASTER_AUDIT_LOG" sheetId="3" r:id="rId6"/>
    <sheet state="visible" name="CEC_WAM_Master_System xlsx" sheetId="4" r:id="rId7"/>
    <sheet state="visible" name="ASSET_TRACKER" sheetId="5" r:id="rId8"/>
    <sheet state="visible" name="ERROR_IMPROVEMENT_LOG" sheetId="6" r:id="rId9"/>
    <sheet state="visible" name="Chart2 CEC WAM Operational Metr" sheetId="7" r:id="rId10"/>
  </sheets>
  <definedNames>
    <definedName localSheetId="3" name="ExternalData_1">'CEC_WAM_Master_System xlsx'!$A$1:$D$6</definedName>
  </definedNames>
  <calcPr/>
</workbook>
</file>

<file path=xl/sharedStrings.xml><?xml version="1.0" encoding="utf-8"?>
<sst xmlns="http://schemas.openxmlformats.org/spreadsheetml/2006/main" count="118" uniqueCount="93">
  <si>
    <t>Metric</t>
  </si>
  <si>
    <t>Value</t>
  </si>
  <si>
    <t>Status</t>
  </si>
  <si>
    <t>Next Critical Step</t>
  </si>
  <si>
    <t>System Name</t>
  </si>
  <si>
    <t>CEC-WAM Master Protocol</t>
  </si>
  <si>
    <t>PERFECT</t>
  </si>
  <si>
    <t>Build Dark Energy Sensor Logic</t>
  </si>
  <si>
    <t>Total Mass</t>
  </si>
  <si>
    <t>100001.33</t>
  </si>
  <si>
    <t>Mass increased by 1.33 since 11/27</t>
  </si>
  <si>
    <t>Dark Energy Index</t>
  </si>
  <si>
    <t>0.999</t>
  </si>
  <si>
    <t>Stability near optimal</t>
  </si>
  <si>
    <t>Black Hole Flow Rate</t>
  </si>
  <si>
    <t>1.33 BTC Allowance</t>
  </si>
  <si>
    <t>No corruption</t>
  </si>
  <si>
    <t>Transfer Security</t>
  </si>
  <si>
    <t>Perfect (Lock/Mutex Active)</t>
  </si>
  <si>
    <t>T-3 resolved</t>
  </si>
  <si>
    <t>Symbol</t>
  </si>
  <si>
    <t>Definition</t>
  </si>
  <si>
    <t>Core Equation</t>
  </si>
  <si>
    <t>Visual</t>
  </si>
  <si>
    <t>Ψ</t>
  </si>
  <si>
    <t>Expansion pressure</t>
  </si>
  <si>
    <t>Ψ = Λ c^2 / 3</t>
  </si>
  <si>
    <t>baseline vacuum push</t>
  </si>
  <si>
    <t>Ψc</t>
  </si>
  <si>
    <t>Consciousness pressure</t>
  </si>
  <si>
    <t>Ψc = α E_info / V_local</t>
  </si>
  <si>
    <t>efficiency × power ÷ space</t>
  </si>
  <si>
    <t>H^2</t>
  </si>
  <si>
    <t>Hubble parameter</t>
  </si>
  <si>
    <t>H^2 = (8πGρ/3) – (k c^2 / a^2) + (Ψ + Ψc)</t>
  </si>
  <si>
    <t>mass pull + curvature + dark drive</t>
  </si>
  <si>
    <t>Timestamp</t>
  </si>
  <si>
    <t>Action</t>
  </si>
  <si>
    <t>Verification</t>
  </si>
  <si>
    <t>2025-11-07 06:21:35</t>
  </si>
  <si>
    <t>System Created v1.0</t>
  </si>
  <si>
    <t>Log Start</t>
  </si>
  <si>
    <t>PASS</t>
  </si>
  <si>
    <t>2025-11-27 10:00:00</t>
  </si>
  <si>
    <t>Transfer Conflict (T-3)</t>
  </si>
  <si>
    <t>High Latency</t>
  </si>
  <si>
    <t>RESOLVED</t>
  </si>
  <si>
    <t>2025-11-30 07:39:03</t>
  </si>
  <si>
    <t>BTC Allowance Transfer</t>
  </si>
  <si>
    <t>Perfect Audit</t>
  </si>
  <si>
    <t>Name</t>
  </si>
  <si>
    <t>Item</t>
  </si>
  <si>
    <t>Kind</t>
  </si>
  <si>
    <t>Hidden</t>
  </si>
  <si>
    <t>DASHBOARD</t>
  </si>
  <si>
    <t>Sheet</t>
  </si>
  <si>
    <t>CONSCIOUSNESS_EQUATIONS</t>
  </si>
  <si>
    <t>MASTER_AUDIT_LOG</t>
  </si>
  <si>
    <t>ASSET_TRACKER</t>
  </si>
  <si>
    <t>ERROR_IMPROVEMENT_LOG</t>
  </si>
  <si>
    <t>Date</t>
  </si>
  <si>
    <t>Product</t>
  </si>
  <si>
    <t>Strategy</t>
  </si>
  <si>
    <t>Nov 28</t>
  </si>
  <si>
    <t>Black Friday Main</t>
  </si>
  <si>
    <t>URGENT</t>
  </si>
  <si>
    <t>Marketing Live</t>
  </si>
  <si>
    <t>50–70% OFF</t>
  </si>
  <si>
    <t>Nov 29</t>
  </si>
  <si>
    <t>Last Chance Extension</t>
  </si>
  <si>
    <t>TODO</t>
  </si>
  <si>
    <t>Ending Soon Banners</t>
  </si>
  <si>
    <t>Scarcity</t>
  </si>
  <si>
    <t>Nov 30</t>
  </si>
  <si>
    <t>Cyber Sunday Prep</t>
  </si>
  <si>
    <t>Switch to tech visuals</t>
  </si>
  <si>
    <t>Cyber Push</t>
  </si>
  <si>
    <t>Cyber Monday Main</t>
  </si>
  <si>
    <t>Cyber Week Extension</t>
  </si>
  <si>
    <t>Component</t>
  </si>
  <si>
    <t>Error Type</t>
  </si>
  <si>
    <t>Resolution</t>
  </si>
  <si>
    <t>QuantumField</t>
  </si>
  <si>
    <t>T-3 Resource Conflict</t>
  </si>
  <si>
    <t>RESOLVED (Mutex Lock)</t>
  </si>
  <si>
    <t>2025-11-27</t>
  </si>
  <si>
    <t>BlackHoles</t>
  </si>
  <si>
    <t>Route Corruption</t>
  </si>
  <si>
    <t>SECURED (Coherence)</t>
  </si>
  <si>
    <t>2025-11-29</t>
  </si>
  <si>
    <t>Conscious</t>
  </si>
  <si>
    <t>Missing API Key</t>
  </si>
  <si>
    <t>FIXED (Linked)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</si>
</sst>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9">
    <font>
      <sz val="11.0"/>
      <color theme="1"/>
      <name val="Verdana"/>
      <scheme val="minor"/>
    </font>
    <font>
      <b/>
      <sz val="14.0"/>
      <color theme="1"/>
      <name val="Trebuchet MS"/>
    </font>
    <font>
      <sz val="14.0"/>
      <color theme="1"/>
      <name val="Trebuchet MS"/>
    </font>
    <font>
      <b/>
      <sz val="15.0"/>
      <color theme="1"/>
      <name val="Calibri"/>
    </font>
    <font>
      <sz val="15.0"/>
      <color theme="1"/>
      <name val="Verdana"/>
      <scheme val="minor"/>
    </font>
    <font>
      <b/>
      <sz val="11.0"/>
      <color theme="1"/>
      <name val="Calibri"/>
    </font>
    <font>
      <color theme="1"/>
      <name val="Verdana"/>
      <scheme val="minor"/>
    </font>
    <font>
      <color rgb="FFFFFFFF"/>
      <name val="Verdana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6" numFmtId="0" xfId="0" applyFont="1"/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3" pivot="0" name="CEC_WAM_Master_System xlsx-style">
      <tableStyleElement dxfId="1" type="headerRow"/>
      <tableStyleElement dxfId="2" type="firstRowStripe"/>
      <tableStyleElement dxfId="3" type="secondRowStripe"/>
    </tableStyle>
    <tableStyle count="4" pivot="0" name="Chart2 CEC WAM Operational Metr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CEC WAM Operational Metrics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'Chart2 CEC WAM Operational Metr'!$A$3:$A$5</c:f>
            </c:strRef>
          </c:cat>
          <c:val>
            <c:numRef>
              <c:f>'Chart2 CEC WAM Operational Metr'!$B$3:$B$5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'Chart2 CEC WAM Operational Metr'!$A$3:$A$5</c:f>
            </c:strRef>
          </c:cat>
          <c:val>
            <c:numRef>
              <c:f>'Chart2 CEC WAM Operational Metr'!$C$3:$C$5</c:f>
              <c:numCache/>
            </c:numRef>
          </c:val>
        </c:ser>
        <c:overlap val="100"/>
        <c:axId val="1447301782"/>
        <c:axId val="808023376"/>
      </c:barChart>
      <c:catAx>
        <c:axId val="1447301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5975"/>
                </a:solidFill>
                <a:latin typeface="+mn-lt"/>
              </a:defRPr>
            </a:pPr>
          </a:p>
        </c:txPr>
        <c:crossAx val="808023376"/>
      </c:catAx>
      <c:valAx>
        <c:axId val="808023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5975"/>
                    </a:solidFill>
                    <a:latin typeface="+mn-lt"/>
                  </a:defRPr>
                </a:pPr>
                <a:r>
                  <a:rPr b="0">
                    <a:solidFill>
                      <a:srgbClr val="005975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5975"/>
                </a:solidFill>
                <a:latin typeface="+mn-lt"/>
              </a:defRPr>
            </a:pPr>
          </a:p>
        </c:txPr>
        <c:crossAx val="1447301782"/>
      </c:valAx>
    </c:plotArea>
  </c:chart>
  <c:spPr>
    <a:solidFill>
      <a:srgbClr val="F0F4F9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6</xdr:row>
      <xdr:rowOff>0</xdr:rowOff>
    </xdr:from>
    <xdr:ext cx="5686425" cy="33528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6" displayName="Table_1" name="Table_1" id="1">
  <tableColumns count="4">
    <tableColumn name="Name" id="1"/>
    <tableColumn name="Item" id="2"/>
    <tableColumn name="Kind" id="3"/>
    <tableColumn name="Hidden" id="4"/>
  </tableColumns>
  <tableStyleInfo name="CEC_WAM_Master_System xlsx-style" showColumnStripes="0" showFirstColumn="1" showLastColumn="1" showRowStripes="1"/>
</table>
</file>

<file path=xl/tables/table2.xml><?xml version="1.0" encoding="utf-8"?>
<table xmlns="http://schemas.openxmlformats.org/spreadsheetml/2006/main" ref="A3:C5" displayName="CEC_WAM_Operational_Metrics2" name="CEC_WAM_Operational_Metrics2" id="2">
  <tableColumns count="3">
    <tableColumn name="Metric" id="1"/>
    <tableColumn name="Dark Energy Index" id="2"/>
    <tableColumn name="Black Hole Flow Rate" id="3"/>
  </tableColumns>
  <tableStyleInfo name="Chart2 CEC WAM Operational Met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8</v>
      </c>
      <c r="B3" s="2" t="s">
        <v>9</v>
      </c>
      <c r="C3" s="2" t="s">
        <v>6</v>
      </c>
      <c r="D3" s="2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11</v>
      </c>
      <c r="B4" s="2" t="s">
        <v>12</v>
      </c>
      <c r="C4" s="2" t="s">
        <v>6</v>
      </c>
      <c r="D4" s="2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14</v>
      </c>
      <c r="B5" s="2" t="s">
        <v>15</v>
      </c>
      <c r="C5" s="2" t="s">
        <v>6</v>
      </c>
      <c r="D5" s="2" t="s">
        <v>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17</v>
      </c>
      <c r="B6" s="2" t="s">
        <v>18</v>
      </c>
      <c r="C6" s="2" t="s">
        <v>6</v>
      </c>
      <c r="D6" s="2" t="s">
        <v>19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6.22"/>
    <col customWidth="1" min="3" max="3" width="50.56"/>
    <col customWidth="1" min="4" max="26" width="6.78"/>
  </cols>
  <sheetData>
    <row r="1" ht="14.25" customHeight="1">
      <c r="A1" s="3" t="s">
        <v>20</v>
      </c>
      <c r="B1" s="3" t="s">
        <v>21</v>
      </c>
      <c r="C1" s="3" t="s">
        <v>22</v>
      </c>
      <c r="D1" s="3" t="s">
        <v>23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24</v>
      </c>
      <c r="B2" s="4" t="s">
        <v>25</v>
      </c>
      <c r="C2" s="4" t="s">
        <v>26</v>
      </c>
      <c r="D2" s="4" t="s">
        <v>27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28</v>
      </c>
      <c r="B3" s="4" t="s">
        <v>29</v>
      </c>
      <c r="C3" s="4" t="s">
        <v>30</v>
      </c>
      <c r="D3" s="4" t="s">
        <v>31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32</v>
      </c>
      <c r="B4" s="4" t="s">
        <v>33</v>
      </c>
      <c r="C4" s="4" t="s">
        <v>34</v>
      </c>
      <c r="D4" s="4" t="s">
        <v>35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4.25" customHeight="1">
      <c r="A1" s="5" t="s">
        <v>36</v>
      </c>
      <c r="B1" s="5" t="s">
        <v>37</v>
      </c>
      <c r="C1" s="5" t="s">
        <v>38</v>
      </c>
      <c r="D1" s="5" t="s">
        <v>2</v>
      </c>
    </row>
    <row r="2" ht="14.25" customHeight="1">
      <c r="A2" s="6" t="s">
        <v>39</v>
      </c>
      <c r="B2" s="6" t="s">
        <v>40</v>
      </c>
      <c r="C2" s="6" t="s">
        <v>41</v>
      </c>
      <c r="D2" s="6" t="s">
        <v>42</v>
      </c>
    </row>
    <row r="3" ht="14.25" customHeight="1">
      <c r="A3" s="6" t="s">
        <v>43</v>
      </c>
      <c r="B3" s="6" t="s">
        <v>44</v>
      </c>
      <c r="C3" s="6" t="s">
        <v>45</v>
      </c>
      <c r="D3" s="6" t="s">
        <v>46</v>
      </c>
    </row>
    <row r="4" ht="14.25" customHeight="1">
      <c r="A4" s="6" t="s">
        <v>47</v>
      </c>
      <c r="B4" s="6" t="s">
        <v>48</v>
      </c>
      <c r="C4" s="6" t="s">
        <v>49</v>
      </c>
      <c r="D4" s="6" t="s">
        <v>42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0.44"/>
    <col customWidth="1" min="3" max="3" width="5.44"/>
    <col customWidth="1" min="4" max="4" width="7.22"/>
    <col customWidth="1" min="5" max="26" width="6.78"/>
  </cols>
  <sheetData>
    <row r="1" ht="14.25" customHeight="1">
      <c r="A1" s="7" t="s">
        <v>50</v>
      </c>
      <c r="B1" s="7" t="s">
        <v>51</v>
      </c>
      <c r="C1" s="7" t="s">
        <v>52</v>
      </c>
      <c r="D1" s="7" t="s">
        <v>53</v>
      </c>
    </row>
    <row r="2" ht="14.25" customHeight="1">
      <c r="A2" s="8" t="s">
        <v>54</v>
      </c>
      <c r="B2" s="8" t="s">
        <v>54</v>
      </c>
      <c r="C2" s="8" t="s">
        <v>55</v>
      </c>
      <c r="D2" s="9" t="b">
        <v>0</v>
      </c>
    </row>
    <row r="3" ht="14.25" customHeight="1">
      <c r="A3" s="8" t="s">
        <v>56</v>
      </c>
      <c r="B3" s="8" t="s">
        <v>56</v>
      </c>
      <c r="C3" s="8" t="s">
        <v>55</v>
      </c>
      <c r="D3" s="9" t="b">
        <v>0</v>
      </c>
    </row>
    <row r="4" ht="14.25" customHeight="1">
      <c r="A4" s="8" t="s">
        <v>57</v>
      </c>
      <c r="B4" s="8" t="s">
        <v>57</v>
      </c>
      <c r="C4" s="8" t="s">
        <v>55</v>
      </c>
      <c r="D4" s="9" t="b">
        <v>0</v>
      </c>
    </row>
    <row r="5" ht="14.25" customHeight="1">
      <c r="A5" s="8" t="s">
        <v>58</v>
      </c>
      <c r="B5" s="8" t="s">
        <v>58</v>
      </c>
      <c r="C5" s="8" t="s">
        <v>55</v>
      </c>
      <c r="D5" s="9" t="b">
        <v>0</v>
      </c>
    </row>
    <row r="6" ht="14.25" customHeight="1">
      <c r="A6" s="8" t="s">
        <v>59</v>
      </c>
      <c r="B6" s="8" t="s">
        <v>59</v>
      </c>
      <c r="C6" s="8" t="s">
        <v>55</v>
      </c>
      <c r="D6" s="9" t="b">
        <v>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4.25" customHeight="1">
      <c r="A1" s="5" t="s">
        <v>60</v>
      </c>
      <c r="B1" s="5" t="s">
        <v>61</v>
      </c>
      <c r="C1" s="5" t="s">
        <v>2</v>
      </c>
      <c r="D1" s="5" t="s">
        <v>37</v>
      </c>
      <c r="E1" s="5" t="s">
        <v>62</v>
      </c>
    </row>
    <row r="2" ht="14.25" customHeight="1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</row>
    <row r="3" ht="14.25" customHeight="1">
      <c r="A3" s="6" t="s">
        <v>68</v>
      </c>
      <c r="B3" s="6" t="s">
        <v>69</v>
      </c>
      <c r="C3" s="6" t="s">
        <v>70</v>
      </c>
      <c r="D3" s="6" t="s">
        <v>71</v>
      </c>
      <c r="E3" s="6" t="s">
        <v>72</v>
      </c>
    </row>
    <row r="4" ht="14.25" customHeight="1">
      <c r="A4" s="6" t="s">
        <v>73</v>
      </c>
      <c r="B4" s="6" t="s">
        <v>74</v>
      </c>
      <c r="C4" s="6" t="s">
        <v>70</v>
      </c>
      <c r="D4" s="6" t="s">
        <v>75</v>
      </c>
      <c r="E4" s="6" t="s">
        <v>76</v>
      </c>
    </row>
    <row r="5" ht="14.25" customHeight="1">
      <c r="A5" s="10">
        <v>45992.0</v>
      </c>
      <c r="B5" s="11" t="s">
        <v>77</v>
      </c>
    </row>
    <row r="6" ht="14.25" customHeight="1">
      <c r="A6" s="10">
        <v>45993.0</v>
      </c>
      <c r="B6" s="11" t="s">
        <v>78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4.25" customHeight="1">
      <c r="A1" s="5" t="s">
        <v>79</v>
      </c>
      <c r="B1" s="5" t="s">
        <v>80</v>
      </c>
      <c r="C1" s="5" t="s">
        <v>81</v>
      </c>
      <c r="D1" s="5" t="s">
        <v>60</v>
      </c>
    </row>
    <row r="2" ht="14.25" customHeight="1">
      <c r="A2" s="6" t="s">
        <v>82</v>
      </c>
      <c r="B2" s="6" t="s">
        <v>83</v>
      </c>
      <c r="C2" s="6" t="s">
        <v>84</v>
      </c>
      <c r="D2" s="6" t="s">
        <v>85</v>
      </c>
    </row>
    <row r="3" ht="14.25" customHeight="1">
      <c r="A3" s="6" t="s">
        <v>86</v>
      </c>
      <c r="B3" s="6" t="s">
        <v>87</v>
      </c>
      <c r="C3" s="6" t="s">
        <v>88</v>
      </c>
      <c r="D3" s="6" t="s">
        <v>89</v>
      </c>
    </row>
    <row r="4" ht="14.25" customHeight="1">
      <c r="A4" s="6" t="s">
        <v>90</v>
      </c>
      <c r="B4" s="6" t="s">
        <v>91</v>
      </c>
      <c r="C4" s="6" t="s">
        <v>92</v>
      </c>
      <c r="D4" s="6" t="s">
        <v>89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3" width="11.22"/>
  </cols>
  <sheetData>
    <row r="1" ht="225.0" customHeight="1"/>
    <row r="3" ht="22.5" customHeight="1">
      <c r="A3" s="12" t="s">
        <v>0</v>
      </c>
      <c r="B3" s="12" t="s">
        <v>11</v>
      </c>
      <c r="C3" s="12" t="s">
        <v>14</v>
      </c>
    </row>
    <row r="4" ht="22.5" customHeight="1">
      <c r="A4" s="13" t="s">
        <v>11</v>
      </c>
      <c r="B4" s="14">
        <v>0.999</v>
      </c>
      <c r="C4" s="13"/>
    </row>
    <row r="5" ht="22.5" customHeight="1">
      <c r="A5" s="13" t="s">
        <v>14</v>
      </c>
      <c r="B5" s="13"/>
      <c r="C5" s="14">
        <v>1.33</v>
      </c>
    </row>
  </sheetData>
  <dataValidations>
    <dataValidation type="custom" allowBlank="1" showDropDown="1" sqref="B4:C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