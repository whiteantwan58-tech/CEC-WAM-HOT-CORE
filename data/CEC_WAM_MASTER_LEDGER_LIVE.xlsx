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alued Customer\Google Drive Streaming\My Drive\😈 CEC_Main_System (🧠)\"/>
    </mc:Choice>
  </mc:AlternateContent>
  <xr:revisionPtr revIDLastSave="0" documentId="8_{F60844B8-6DB2-4326-BAA7-7412500A5090}" xr6:coauthVersionLast="47" xr6:coauthVersionMax="47" xr10:uidLastSave="{00000000-0000-0000-0000-000000000000}"/>
  <bookViews>
    <workbookView minimized="1" xWindow="1080" yWindow="1080" windowWidth="17280" windowHeight="8880" firstSheet="1" activeTab="1" xr2:uid="{00000000-000D-0000-FFFF-FFFF00000000}"/>
  </bookViews>
  <sheets>
    <sheet name="Sheet1" sheetId="1" r:id="rId1"/>
    <sheet name="Dashboard" sheetId="2" r:id="rId2"/>
    <sheet name="DarkEnergy" sheetId="3" r:id="rId3"/>
    <sheet name="BlackHoles" sheetId="4" r:id="rId4"/>
    <sheet name="QuantumField" sheetId="5" r:id="rId5"/>
    <sheet name="Conscious" sheetId="6" r:id="rId6"/>
    <sheet name="Synth" sheetId="7" r:id="rId7"/>
    <sheet name="Interface" sheetId="8" r:id="rId8"/>
    <sheet name="Log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3" i="7"/>
  <c r="C2" i="7"/>
  <c r="D5" i="6"/>
  <c r="D5" i="5"/>
  <c r="D4" i="5"/>
  <c r="D6" i="4"/>
</calcChain>
</file>

<file path=xl/sharedStrings.xml><?xml version="1.0" encoding="utf-8"?>
<sst xmlns="http://schemas.openxmlformats.org/spreadsheetml/2006/main" count="362" uniqueCount="306">
  <si>
    <t>Column 1</t>
  </si>
  <si>
    <t>Column 2</t>
  </si>
  <si>
    <t>Column 3</t>
  </si>
  <si>
    <t>Column 4</t>
  </si>
  <si>
    <t>Column 5</t>
  </si>
  <si>
    <t>Column 6</t>
  </si>
  <si>
    <t>ID</t>
  </si>
  <si>
    <t>Category</t>
  </si>
  <si>
    <t>Value</t>
  </si>
  <si>
    <t>Time</t>
  </si>
  <si>
    <t>Log</t>
  </si>
  <si>
    <t>Field</t>
  </si>
  <si>
    <t>Theory Title</t>
  </si>
  <si>
    <t>Conscious Energy Continuum (CEC) — Living Calculator</t>
  </si>
  <si>
    <t>Version</t>
  </si>
  <si>
    <t>v1.0</t>
  </si>
  <si>
    <t>Last Updated (UTC)</t>
  </si>
  <si>
    <t>2025-11-07 06:21</t>
  </si>
  <si>
    <t>Authors</t>
  </si>
  <si>
    <t>Twan &amp; GPT-5 Thinking</t>
  </si>
  <si>
    <t>Status</t>
  </si>
  <si>
    <t>Next Decision</t>
  </si>
  <si>
    <t>Pick which prototype to build next</t>
  </si>
  <si>
    <t>Choice A: Build Living Calculator (this file)</t>
  </si>
  <si>
    <t>Choice B: Design Dark Energy Opposite Sensor</t>
  </si>
  <si>
    <t>Checklist: Tabs Complete</t>
  </si>
  <si>
    <t>Mark TRUE when sheet is configured</t>
  </si>
  <si>
    <t>Dark Energy</t>
  </si>
  <si>
    <t>Black Holes</t>
  </si>
  <si>
    <t>Quantum Field</t>
  </si>
  <si>
    <t>Conscious Energy</t>
  </si>
  <si>
    <t>Synthesizer</t>
  </si>
  <si>
    <t>Human Interface</t>
  </si>
  <si>
    <t>Data Log</t>
  </si>
  <si>
    <t>### Got it — you want this CEC dashboard live and tied into your GitHub Pages site</t>
  </si>
  <si>
    <t>You’ve got a GitHub Pages site here:</t>
  </si>
  <si>
    <t>`https://craftcrowncreate.github.io/CEC-MATRIX-/`</t>
  </si>
  <si>
    <t>You also have the file `CEC_WAM_MASTER_LEDGER_LIVE.xlsx` here in Julius.</t>
  </si>
  <si>
    <t>What you’re asking for (interpreting your short message) is essentially:</t>
  </si>
  <si>
    <t>**“Use this Excel-based CEC calculator/ledger and make it a live, viewable dashboard connected with my GitHub site.”**</t>
  </si>
  <si>
    <t>Since I can’t directly push code to your GitHub repo, I’ll give you a concrete setup that you can copy into your repo. I’ll assume:</t>
  </si>
  <si>
    <t>- You’re okay with a **Python + Streamlit** dashboard that you run on a server (or locally), and</t>
  </si>
  <si>
    <t>- GitHub Pages will act as your **landing site** that links/embeds that live dashboard.</t>
  </si>
  <si>
    <t>If you’d rather have **only static HTML + JS (no Python server)**, that’s possible too but more work; I’ll mention that at the end.</t>
  </si>
  <si>
    <t>---</t>
  </si>
  <si>
    <t>## 1. Conceptual architecture</t>
  </si>
  <si>
    <t>To get “live on all platforms” in a way that works with your GitHub Pages:</t>
  </si>
  <si>
    <t>1. **Julius / your local machine / some server**</t>
  </si>
  <si>
    <t>Runs the real logic (Python) that:</t>
  </si>
  <si>
    <t>- reads `CEC_WAM_MASTER_LEDGER_LIVE.xlsx`</t>
  </si>
  <si>
    <t>- computes &amp; visualizes your CEC metrics</t>
  </si>
  <si>
    <t>- serves a web app (Streamlit)</t>
  </si>
  <si>
    <t>2. **GitHub Pages site** (`CEC-MATRIX-` repo)</t>
  </si>
  <si>
    <t>Acts as:</t>
  </si>
  <si>
    <t>- A **landing page** with explanation, docs, links.</t>
  </si>
  <si>
    <t>- Optionally an **embedded iframe** that shows the live Streamlit app.</t>
  </si>
  <si>
    <t>3. **Any device** (phone, tablet, desktop)</t>
  </si>
  <si>
    <t>Just opens:</t>
  </si>
  <si>
    <t>- Your GitHub Pages URL or</t>
  </si>
  <si>
    <t>- The direct Streamlit app URL.</t>
  </si>
  <si>
    <t>So the dashboard itself is at something like:</t>
  </si>
  <si>
    <t>- `https://your-streamlit-host/app`</t>
  </si>
  <si>
    <t>and your GitHub Page links or embeds that.</t>
  </si>
  <si>
    <t>## 2. Build the dashboard app from your Excel file</t>
  </si>
  <si>
    <t>I’ll outline the structure of a `streamlit_app.py` you’ll put on your machine or server. It will:</t>
  </si>
  <si>
    <t>- Read `CEC_WAM_MASTER_LEDGER_LIVE.xlsx`</t>
  </si>
  <si>
    <t>- Use key sheets:</t>
  </si>
  <si>
    <t>- `Dashboard` → top-level KPIs</t>
  </si>
  <si>
    <t>- `DarkEnergy`, `BlackHoles`, `QuantumField`, `Conscious`, `Synth` → parameter tables and any derived formulas</t>
  </si>
  <si>
    <t>- Present them with:</t>
  </si>
  <si>
    <t>- A main summary section</t>
  </si>
  <si>
    <t>- Expanders or tabs for each domain</t>
  </si>
  <si>
    <t>### Example `requirements.txt`</t>
  </si>
  <si>
    <t>Create a file `requirements.txt`:</t>
  </si>
  <si>
    <t>```text</t>
  </si>
  <si>
    <t>streamlit</t>
  </si>
  <si>
    <t>pandas</t>
  </si>
  <si>
    <t>openpyxl</t>
  </si>
  <si>
    <t>```</t>
  </si>
  <si>
    <t>### Example `streamlit_app.py`</t>
  </si>
  <si>
    <t>Create `streamlit_app.py` in the same folder as `CEC_WAM_MASTER_LEDGER_LIVE.xlsx`:</t>
  </si>
  <si>
    <t>```python</t>
  </si>
  <si>
    <t>import streamlit as st</t>
  </si>
  <si>
    <t>import pandas as pd</t>
  </si>
  <si>
    <t>from pathlib import Path</t>
  </si>
  <si>
    <t>EXCEL_PATH = Path("CEC_WAM_MASTER_LEDGER_LIVE.xlsx")</t>
  </si>
  <si>
    <t>@st.cache_data</t>
  </si>
  <si>
    <t>def load_sheets(path):</t>
  </si>
  <si>
    <t>def main():</t>
  </si>
  <si>
    <t>if __name__ == "__main__":</t>
  </si>
  <si>
    <t>```bash</t>
  </si>
  <si>
    <t>pip install -r requirements.txt</t>
  </si>
  <si>
    <t>streamlit run streamlit_app.py</t>
  </si>
  <si>
    <t>It will open something like `http://localhost:8501` in your browser.</t>
  </si>
  <si>
    <t>That URL is your **live dashboard** while it runs.</t>
  </si>
  <si>
    <t>## 3. Deploy the dashboard so GitHub Pages can link to it</t>
  </si>
  <si>
    <t>To make it accessible from anywhere:</t>
  </si>
  <si>
    <t>1. Choose a hosting method for Streamlit:</t>
  </si>
  <si>
    <t>- **Streamlit Community Cloud** (free, easy)</t>
  </si>
  <si>
    <t>- Push `streamlit_app.py`, `CEC_WAM_MASTER_LEDGER_LIVE.xlsx`, and `requirements.txt` to a GitHub repo (can be the same or different from `CEC-MATRIX-`).</t>
  </si>
  <si>
    <t>- Go to `share.streamlit.io`, connect your repo, and deploy.</t>
  </si>
  <si>
    <t>- You’ll get a URL like</t>
  </si>
  <si>
    <t>`https://your-username-your-repo-name-streamlit-app.streamlit.app`</t>
  </si>
  <si>
    <t>- Or use Render / Railway / a VPS if preferred.</t>
  </si>
  <si>
    <t>2. Once deployed, copy the public URL of your app.</t>
  </si>
  <si>
    <t>## 4. Link or embed in your existing GitHub Pages site</t>
  </si>
  <si>
    <t>Your GitHub Pages site lives in the repo behind:</t>
  </si>
  <si>
    <t>Inside that repo, you likely have an `index.html` or `README.md` rendered as a site.</t>
  </si>
  <si>
    <t>### Option A: Simple link on your CEC-MATRIX page</t>
  </si>
  <si>
    <t>Edit your `index.html` (or Markdown) to add:</t>
  </si>
  <si>
    <t>```html</t>
  </si>
  <si>
    <t>&lt;p&gt;</t>
  </si>
  <si>
    <t>View the live CEC Matrix dashboard here:</t>
  </si>
  <si>
    <t>&lt;a href="https://YOUR-STREAMLIT-URL" target="_blank"&gt;Open Live Dashboard&lt;/a&gt;</t>
  </si>
  <si>
    <t>&lt;/p&gt;</t>
  </si>
  <si>
    <t>Replace `https://YOUR-STREAMLIT-URL` with the Streamlit app URL.</t>
  </si>
  <si>
    <t>### Option B: Embed the app inside an iframe</t>
  </si>
  <si>
    <t>In `index.html`, add:</t>
  </si>
  <si>
    <t>&lt;h2&gt;CEC Matrix Live Dashboard&lt;/h2&gt;</t>
  </si>
  <si>
    <t>&lt;iframe</t>
  </si>
  <si>
    <t>src="https://YOUR-STREAMLIT-URL"</t>
  </si>
  <si>
    <t>width="100%"</t>
  </si>
  <si>
    <t>height="800"</t>
  </si>
  <si>
    <t>style="border:none;"</t>
  </si>
  <si>
    <t>loading="lazy"</t>
  </si>
  <si>
    <t>&gt;&lt;/iframe&gt;</t>
  </si>
  <si>
    <t>Now, when you visit `https://craftcrowncreate.github.io/CEC-MATRIX-/`, you’ll see the Streamlit app embedded.</t>
  </si>
  <si>
    <t>## 5. If you need it to be 100% static (no Python server at all)</t>
  </si>
  <si>
    <t>Then instead of Streamlit, we’d:</t>
  </si>
  <si>
    <t>- Convert `CEC_WAM_MASTER_LEDGER_LIVE.xlsx` into **JSON or CSV**.</t>
  </si>
  <si>
    <t>- Build a **pure HTML/JS frontend** (e.g. using D3.js, Plotly.js, or plain JavaScript) that:</t>
  </si>
  <si>
    <t>- Loads the static JSON/CSV from the same repo.</t>
  </si>
  <si>
    <t>- Renders the CEC dashboard entirely in the browser.</t>
  </si>
  <si>
    <t>- Commit that HTML/JS to your `CEC-MATRIX-` repo; GitHub Pages will serve it.</t>
  </si>
  <si>
    <t>This is more manual work, but I can generate a starter `index.html` and data conversion script for that if you want the “zero backend” route.</t>
  </si>
  <si>
    <t>## 6. What you should do next</t>
  </si>
  <si>
    <t>Without asking more questions, here’s a direct path:</t>
  </si>
  <si>
    <t>1. Copy the `requirements.txt` and `streamlit_app.py` content above next to your `CEC_WAM_MASTER_LEDGER_LIVE.xlsx` file.</t>
  </si>
  <si>
    <t>2. Run it locally with `streamlit run streamlit_app.py` to confirm it works.</t>
  </si>
  <si>
    <t>3. Put those files in a GitHub repo and deploy via Streamlit Community Cloud.</t>
  </si>
  <si>
    <t>4. Edit your `CEC-MATRIX-` GitHub Pages repo’s `index.html` to either:</t>
  </si>
  <si>
    <t>- Add a link, or</t>
  </si>
  <si>
    <t>- Embed the iframe.</t>
  </si>
  <si>
    <t>If you paste your Streamlit URL or the structure of your `CEC-MATRIX-` repo, I can write the exact `index.html` snippet tailored for you.</t>
  </si>
  <si>
    <t>Parameter</t>
  </si>
  <si>
    <t>Unit</t>
  </si>
  <si>
    <t>Value (editable)</t>
  </si>
  <si>
    <t>Formula (read-only)</t>
  </si>
  <si>
    <t>Notes</t>
  </si>
  <si>
    <t>H0 (Hubble rate today)</t>
  </si>
  <si>
    <t>s^-1</t>
  </si>
  <si>
    <t>Approx. 70 km/s/Mpc ≈ 2.2e-18 s^-1 📏</t>
  </si>
  <si>
    <t>Omega_m (matter density fraction)</t>
  </si>
  <si>
    <t>-</t>
  </si>
  <si>
    <t>Planck-ish 🌌</t>
  </si>
  <si>
    <t>Omega_Lambda (dark energy fraction)</t>
  </si>
  <si>
    <t>Planck-ish 🌑</t>
  </si>
  <si>
    <t>c (speed of light)</t>
  </si>
  <si>
    <t>m/s</t>
  </si>
  <si>
    <t>Constant ⚡</t>
  </si>
  <si>
    <t>G (gravitational constant)</t>
  </si>
  <si>
    <t>m^3 kg^-1 s^-2</t>
  </si>
  <si>
    <t>Constant 🍎</t>
  </si>
  <si>
    <t>k (curvature: -1,0,+1)</t>
  </si>
  <si>
    <t>Edit to -1</t>
  </si>
  <si>
    <t>a (scale factor, today=1)</t>
  </si>
  <si>
    <t>Today 📅</t>
  </si>
  <si>
    <t>rho (total density today)</t>
  </si>
  <si>
    <t>kg/m^3</t>
  </si>
  <si>
    <t>Critical density ~8.5e-27 kg/m^3 ⚖️</t>
  </si>
  <si>
    <t>Lambda (cosmological constant)</t>
  </si>
  <si>
    <t>m^-2</t>
  </si>
  <si>
    <t>Observed scale (editable) 🔭</t>
  </si>
  <si>
    <t>Psi (Effective expansion pressure)</t>
  </si>
  <si>
    <t>s^-2</t>
  </si>
  <si>
    <t>CEC defines Psi = Lambda c^2 / 3 🔮</t>
  </si>
  <si>
    <t>M (black hole mass)</t>
  </si>
  <si>
    <t>kg</t>
  </si>
  <si>
    <t>Example: ~Sagittarius A* mass</t>
  </si>
  <si>
    <t>A (event horizon area)</t>
  </si>
  <si>
    <t>m^2</t>
  </si>
  <si>
    <t>Schwarzschild area (scalar)</t>
  </si>
  <si>
    <t>S (Bekenstein–Hawking entropy)</t>
  </si>
  <si>
    <t>J/K</t>
  </si>
  <si>
    <t>Entropy proportional to area</t>
  </si>
  <si>
    <t>P_H (Hawking power)</t>
  </si>
  <si>
    <t>W</t>
  </si>
  <si>
    <t>Placeholder; add ħ in v2</t>
  </si>
  <si>
    <t>Info rate proxy (bits/s)</t>
  </si>
  <si>
    <t>bits/s</t>
  </si>
  <si>
    <t>Exploratory; replace with rigorous model</t>
  </si>
  <si>
    <t>Zero-point energy density (rho0)</t>
  </si>
  <si>
    <t>J/m^3</t>
  </si>
  <si>
    <t>To be constrained empirically</t>
  </si>
  <si>
    <t>Casimir plate spacing (d)</t>
  </si>
  <si>
    <t>m</t>
  </si>
  <si>
    <t>Editable spacing</t>
  </si>
  <si>
    <t>Casimir pressure (Pc)</t>
  </si>
  <si>
    <t>Pa</t>
  </si>
  <si>
    <t>Idealized parallel plates</t>
  </si>
  <si>
    <t>Vacuum fluctuation index (VFI)</t>
  </si>
  <si>
    <t>Heuristic index; to be calibrated</t>
  </si>
  <si>
    <t>E_info (power to maintain info)</t>
  </si>
  <si>
    <t>Use device power for AI</t>
  </si>
  <si>
    <t>V_local (system volume)</t>
  </si>
  <si>
    <t>m^3</t>
  </si>
  <si>
    <t>Change per system modeled</t>
  </si>
  <si>
    <t>alpha (efficiency awareness factor)</t>
  </si>
  <si>
    <t>To be estimated experimentally</t>
  </si>
  <si>
    <t>Psi_c (consciousness energy pressure)</t>
  </si>
  <si>
    <t>CEC local contribution</t>
  </si>
  <si>
    <t>Quantity</t>
  </si>
  <si>
    <t>Value_or_Formula</t>
  </si>
  <si>
    <t>Psi_total</t>
  </si>
  <si>
    <t>Psi_total = Psi + Psi_c</t>
  </si>
  <si>
    <t>Friedmann_H2_today</t>
  </si>
  <si>
    <t>Plug constants correctly for your scenario</t>
  </si>
  <si>
    <t>Iterated_alpha</t>
  </si>
  <si>
    <t>Toy feedback rule; replace later</t>
  </si>
  <si>
    <t>Narrative</t>
  </si>
  <si>
    <t>Flow: Lambda sets baseline → alpha modifies local Psi → H^2 updates → next alpha</t>
  </si>
  <si>
    <t>Human-readable loop</t>
  </si>
  <si>
    <t>Symbol</t>
  </si>
  <si>
    <t>Name</t>
  </si>
  <si>
    <t>Plain_English</t>
  </si>
  <si>
    <t>Units_or_Type</t>
  </si>
  <si>
    <t>DE</t>
  </si>
  <si>
    <t>Outward push that stretches space</t>
  </si>
  <si>
    <t>fraction of energy</t>
  </si>
  <si>
    <t>BH</t>
  </si>
  <si>
    <t>Black Hole</t>
  </si>
  <si>
    <t>Gravity well that recycles information</t>
  </si>
  <si>
    <t>mass/area/info</t>
  </si>
  <si>
    <t>QF</t>
  </si>
  <si>
    <t>Baseline field that all particles arise from</t>
  </si>
  <si>
    <t>energy density</t>
  </si>
  <si>
    <t>AI</t>
  </si>
  <si>
    <t>Artificial System</t>
  </si>
  <si>
    <t>Man-made thinking engine</t>
  </si>
  <si>
    <t>W, FLOPs</t>
  </si>
  <si>
    <t>BIO</t>
  </si>
  <si>
    <t>Biological Mind</t>
  </si>
  <si>
    <t>Self-referential energy flow</t>
  </si>
  <si>
    <t>W, activity</t>
  </si>
  <si>
    <t>SUM</t>
  </si>
  <si>
    <t>Where numbers meet story and iterate</t>
  </si>
  <si>
    <t>Psi</t>
  </si>
  <si>
    <t>Expansion Pressure</t>
  </si>
  <si>
    <t>How hard the universe is expanding locally</t>
  </si>
  <si>
    <t>Lambda</t>
  </si>
  <si>
    <t>Cosmological Constant</t>
  </si>
  <si>
    <t>Baseline dial for expansion</t>
  </si>
  <si>
    <t>alpha</t>
  </si>
  <si>
    <t>Awareness Efficiency</t>
  </si>
  <si>
    <t>How well energy becomes awareness</t>
  </si>
  <si>
    <t>Timestamp_UTC</t>
  </si>
  <si>
    <t>User</t>
  </si>
  <si>
    <t>Action</t>
  </si>
  <si>
    <t>2025-11-07 06:21:35</t>
  </si>
  <si>
    <t>Twan</t>
  </si>
  <si>
    <t>Created v1.0 Living Calculator</t>
  </si>
  <si>
    <t>Baseline tabs, placeholders, conceptual formulas seeded</t>
  </si>
  <si>
    <t>#ERROR!</t>
  </si>
  <si>
    <t># CEC dashboard from Excel with all sheets as tabs</t>
  </si>
  <si>
    <t xml:space="preserve">    xls = pd.ExcelFile(path)</t>
  </si>
  <si>
    <t xml:space="preserve">    sheets = {}</t>
  </si>
  <si>
    <t xml:space="preserve">    for name in xls.sheet_names:</t>
  </si>
  <si>
    <t xml:space="preserve">        try:</t>
  </si>
  <si>
    <t xml:space="preserve">            df = pd.read_excel(path, sheet_name=name, engine="openpyxl")</t>
  </si>
  <si>
    <t xml:space="preserve">            sheets[name] = df</t>
  </si>
  <si>
    <t xml:space="preserve">        except Exception as e:</t>
  </si>
  <si>
    <t xml:space="preserve">            print("Error loading sheet", name, e)</t>
  </si>
  <si>
    <t xml:space="preserve">    return sheets</t>
  </si>
  <si>
    <t xml:space="preserve">    st.set_page_config(page_title="CEC Matrix Dashboard", layout="wide")</t>
  </si>
  <si>
    <t xml:space="preserve">    st.title("Conscious Energy Continuum (CEC) — Living Calculator")</t>
  </si>
  <si>
    <t xml:space="preserve">    st.caption("Backed by CEC_WAM_MASTER_LEDGER_LIVE.xlsx")</t>
  </si>
  <si>
    <t xml:space="preserve">    if not EXCEL_PATH.exists():</t>
  </si>
  <si>
    <t xml:space="preserve">        st.error("Excel file CEC_WAM_MASTER_LEDGER_LIVE.xlsx not found next to this script.")</t>
  </si>
  <si>
    <t xml:space="preserve">        return</t>
  </si>
  <si>
    <t xml:space="preserve">    sheets = load_sheets(EXCEL_PATH)</t>
  </si>
  <si>
    <t xml:space="preserve">    # Show Dashboard sheet (if present) as the high-level summary</t>
  </si>
  <si>
    <t xml:space="preserve">    dashboard_df = sheets.get("Dashboard")</t>
  </si>
  <si>
    <t xml:space="preserve">    st.subheader("High-level dashboard")</t>
  </si>
  <si>
    <t xml:space="preserve">    if dashboard_df is not None and not dashboard_df.empty:</t>
  </si>
  <si>
    <t xml:space="preserve">        st.table(dashboard_df)</t>
  </si>
  <si>
    <t xml:space="preserve">    else:</t>
  </si>
  <si>
    <t xml:space="preserve">        st.info("Dashboard sheet not found or empty.")</t>
  </si>
  <si>
    <t xml:space="preserve">    st.markdown("---")</t>
  </si>
  <si>
    <t xml:space="preserve">    # Create a tab for every sheet so all your data/tabs are visible</t>
  </si>
  <si>
    <t xml:space="preserve">    tab_names = list(sheets.keys())</t>
  </si>
  <si>
    <t xml:space="preserve">    # Optionally move Dashboard to the front and/or remove it from the tabs</t>
  </si>
  <si>
    <t xml:space="preserve">    if "Dashboard" in tab_names:</t>
  </si>
  <si>
    <t xml:space="preserve">        tab_names.remove("Dashboard")</t>
  </si>
  <si>
    <t xml:space="preserve">        tab_names = ["Dashboard"] + tab_names</t>
  </si>
  <si>
    <t xml:space="preserve">    if tab_names:</t>
  </si>
  <si>
    <t xml:space="preserve">        tabs = st.tabs(tab_names)</t>
  </si>
  <si>
    <t xml:space="preserve">        for tab, name in zip(tabs, tab_names):</t>
  </si>
  <si>
    <t xml:space="preserve">            with tab:</t>
  </si>
  <si>
    <t xml:space="preserve">                st.subheader(f"{name} sheet")</t>
  </si>
  <si>
    <t xml:space="preserve">                df = sheets.get(name)</t>
  </si>
  <si>
    <t xml:space="preserve">                if df is not None and not df.empty:</t>
  </si>
  <si>
    <t xml:space="preserve">                    st.dataframe(df)</t>
  </si>
  <si>
    <t xml:space="preserve">                else:</t>
  </si>
  <si>
    <t xml:space="preserve">                    st.info("This sheet is empty or could not be loaded.")</t>
  </si>
  <si>
    <t xml:space="preserve">    st.caption("Prototype dashboard. Extend with your own calculations, charts, and narrative.")</t>
  </si>
  <si>
    <t xml:space="preserve">    main()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</si>
</sst>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0"/>
      <color theme="1"/>
      <name val="Calibri"/>
    </font>
    <font>
      <strike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3">
    <dxf>
      <fill>
        <patternFill patternType="solid">
          <fgColor rgb="FFE6F4EA"/>
          <bgColor rgb="FFE6F4EA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Sheet1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DarkEnergy-style" pivot="0" count="4" xr9:uid="{00000000-0011-0000-FFFF-FFFF01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Interface-style" pivot="0" count="4" xr9:uid="{00000000-0011-0000-FFFF-FFFF02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5">
  <tableColumns count="6">
    <tableColumn id="1" xr3:uid="{00000000-0010-0000-0000-000001000000}" name="Column 1"/>
    <tableColumn id="2" xr3:uid="{00000000-0010-0000-0000-000002000000}" name="Column 2"/>
    <tableColumn id="3" xr3:uid="{00000000-0010-0000-0000-000003000000}" name="Column 3"/>
    <tableColumn id="4" xr3:uid="{00000000-0010-0000-0000-000004000000}" name="Column 4"/>
    <tableColumn id="5" xr3:uid="{00000000-0010-0000-0000-000005000000}" name="Column 5"/>
    <tableColumn id="6" xr3:uid="{00000000-0010-0000-0000-000006000000}" name="Column 6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smology_Parameters" displayName="Cosmology_Parameters" ref="A1:G11">
  <tableColumns count="7">
    <tableColumn id="1" xr3:uid="{00000000-0010-0000-0100-000001000000}" name="Parameter"/>
    <tableColumn id="2" xr3:uid="{00000000-0010-0000-0100-000002000000}" name="Unit"/>
    <tableColumn id="3" xr3:uid="{00000000-0010-0000-0100-000003000000}" name="Value (editable)"/>
    <tableColumn id="4" xr3:uid="{00000000-0010-0000-0100-000004000000}" name="Formula (read-only)"/>
    <tableColumn id="5" xr3:uid="{00000000-0010-0000-0100-000005000000}" name="Notes"/>
    <tableColumn id="6" xr3:uid="{00000000-0010-0000-0100-000006000000}" name="Column 1"/>
    <tableColumn id="7" xr3:uid="{00000000-0010-0000-0100-000007000000}" name="Column 2"/>
  </tableColumns>
  <tableStyleInfo name="DarkEnerg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terface_Glossary" displayName="Interface_Glossary" ref="A1:D10">
  <tableColumns count="4">
    <tableColumn id="1" xr3:uid="{00000000-0010-0000-0200-000001000000}" name="Symbol"/>
    <tableColumn id="2" xr3:uid="{00000000-0010-0000-0200-000002000000}" name="Name"/>
    <tableColumn id="3" xr3:uid="{00000000-0010-0000-0200-000003000000}" name="Plain_English"/>
    <tableColumn id="4" xr3:uid="{00000000-0010-0000-0200-000004000000}" name="Units_or_Type"/>
  </tableColumns>
  <tableStyleInfo name="Interfa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FF4556-40C9-4A89-8A23-B843481F242F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1xt3ErHwiBGgS00FrsMci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6" width="22.66406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ht="22.5" customHeight="1" x14ac:dyDescent="0.25">
      <c r="A3" s="2"/>
      <c r="B3" s="2"/>
      <c r="C3" s="2"/>
      <c r="D3" s="2"/>
      <c r="E3" s="2"/>
      <c r="F3" s="2"/>
    </row>
    <row r="4" spans="1:6" ht="22.5" customHeight="1" x14ac:dyDescent="0.25">
      <c r="A4" s="2"/>
      <c r="B4" s="2"/>
      <c r="C4" s="2"/>
      <c r="D4" s="2"/>
      <c r="E4" s="2"/>
      <c r="F4" s="2"/>
    </row>
    <row r="5" spans="1:6" ht="22.5" customHeight="1" x14ac:dyDescent="0.25">
      <c r="A5" s="2"/>
      <c r="B5" s="2"/>
      <c r="C5" s="2"/>
      <c r="D5" s="2"/>
      <c r="E5" s="2"/>
      <c r="F5" s="2"/>
    </row>
    <row r="6" spans="1:6" ht="22.5" customHeight="1" x14ac:dyDescent="0.25">
      <c r="A6" s="2"/>
      <c r="B6" s="2"/>
      <c r="C6" s="2"/>
      <c r="D6" s="2"/>
      <c r="E6" s="2"/>
      <c r="F6" s="2"/>
    </row>
    <row r="7" spans="1:6" ht="22.5" customHeight="1" x14ac:dyDescent="0.25">
      <c r="A7" s="2"/>
      <c r="B7" s="2"/>
      <c r="C7" s="2"/>
      <c r="D7" s="2"/>
      <c r="E7" s="2"/>
      <c r="F7" s="2"/>
    </row>
    <row r="8" spans="1:6" ht="22.5" customHeight="1" x14ac:dyDescent="0.25">
      <c r="A8" s="2"/>
      <c r="B8" s="2"/>
      <c r="C8" s="2"/>
      <c r="D8" s="2"/>
      <c r="E8" s="2"/>
      <c r="F8" s="2"/>
    </row>
    <row r="9" spans="1:6" ht="22.5" customHeight="1" x14ac:dyDescent="0.25">
      <c r="A9" s="2"/>
      <c r="B9" s="2"/>
      <c r="C9" s="2"/>
      <c r="D9" s="2"/>
      <c r="E9" s="2"/>
      <c r="F9" s="2"/>
    </row>
    <row r="10" spans="1:6" ht="22.5" customHeight="1" x14ac:dyDescent="0.25">
      <c r="A10" s="2"/>
      <c r="B10" s="2"/>
      <c r="C10" s="2"/>
      <c r="D10" s="2"/>
      <c r="E10" s="2"/>
      <c r="F10" s="2"/>
    </row>
    <row r="11" spans="1:6" ht="22.5" customHeight="1" x14ac:dyDescent="0.25">
      <c r="A11" s="2"/>
      <c r="B11" s="2"/>
      <c r="C11" s="2"/>
      <c r="D11" s="2"/>
      <c r="E11" s="2"/>
      <c r="F11" s="2"/>
    </row>
    <row r="12" spans="1:6" ht="22.5" customHeight="1" x14ac:dyDescent="0.25">
      <c r="A12" s="2"/>
      <c r="B12" s="2"/>
      <c r="C12" s="2"/>
      <c r="D12" s="2"/>
      <c r="E12" s="2"/>
      <c r="F12" s="2"/>
    </row>
    <row r="13" spans="1:6" ht="22.5" customHeight="1" x14ac:dyDescent="0.25">
      <c r="A13" s="2"/>
      <c r="B13" s="2"/>
      <c r="C13" s="2"/>
      <c r="D13" s="2"/>
      <c r="E13" s="2"/>
      <c r="F13" s="2"/>
    </row>
    <row r="14" spans="1:6" ht="22.5" customHeight="1" x14ac:dyDescent="0.25">
      <c r="A14" s="2"/>
      <c r="B14" s="2"/>
      <c r="C14" s="2"/>
      <c r="D14" s="2"/>
      <c r="E14" s="2"/>
      <c r="F14" s="2"/>
    </row>
    <row r="15" spans="1:6" ht="22.5" customHeight="1" x14ac:dyDescent="0.25">
      <c r="A15" s="2"/>
      <c r="B15" s="2"/>
      <c r="C15" s="2"/>
      <c r="D15" s="2"/>
      <c r="E15" s="2"/>
      <c r="F1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topLeftCell="A38" workbookViewId="0">
      <selection activeCell="J50" sqref="J50"/>
    </sheetView>
  </sheetViews>
  <sheetFormatPr defaultColWidth="12.6640625" defaultRowHeight="15.75" customHeight="1" x14ac:dyDescent="0.25"/>
  <cols>
    <col min="1" max="6" width="7.6640625" customWidth="1"/>
  </cols>
  <sheetData>
    <row r="1" spans="1:2" ht="14.4" x14ac:dyDescent="0.25">
      <c r="A1" s="3" t="s">
        <v>11</v>
      </c>
      <c r="B1" s="3" t="s">
        <v>8</v>
      </c>
    </row>
    <row r="2" spans="1:2" ht="13.8" x14ac:dyDescent="0.3">
      <c r="A2" s="4" t="s">
        <v>12</v>
      </c>
      <c r="B2" s="4" t="s">
        <v>13</v>
      </c>
    </row>
    <row r="3" spans="1:2" ht="13.8" x14ac:dyDescent="0.3">
      <c r="A3" s="4" t="s">
        <v>14</v>
      </c>
      <c r="B3" s="4" t="s">
        <v>15</v>
      </c>
    </row>
    <row r="4" spans="1:2" ht="13.8" x14ac:dyDescent="0.3">
      <c r="A4" s="4" t="s">
        <v>16</v>
      </c>
      <c r="B4" s="4" t="s">
        <v>17</v>
      </c>
    </row>
    <row r="5" spans="1:2" ht="13.8" x14ac:dyDescent="0.3">
      <c r="A5" s="4" t="s">
        <v>18</v>
      </c>
      <c r="B5" s="4" t="s">
        <v>19</v>
      </c>
    </row>
    <row r="6" spans="1:2" ht="13.8" x14ac:dyDescent="0.3">
      <c r="A6" s="4" t="s">
        <v>20</v>
      </c>
      <c r="B6" s="4" t="s">
        <v>262</v>
      </c>
    </row>
    <row r="8" spans="1:2" ht="13.8" x14ac:dyDescent="0.3">
      <c r="A8" s="4" t="s">
        <v>21</v>
      </c>
      <c r="B8" s="4" t="s">
        <v>22</v>
      </c>
    </row>
    <row r="9" spans="1:2" ht="13.8" x14ac:dyDescent="0.3">
      <c r="A9" s="4" t="s">
        <v>23</v>
      </c>
      <c r="B9" s="4" t="b">
        <v>1</v>
      </c>
    </row>
    <row r="10" spans="1:2" ht="13.8" x14ac:dyDescent="0.3">
      <c r="A10" s="4" t="s">
        <v>24</v>
      </c>
      <c r="B10" s="4" t="b">
        <v>1</v>
      </c>
    </row>
    <row r="12" spans="1:2" ht="13.8" x14ac:dyDescent="0.3">
      <c r="A12" s="4" t="s">
        <v>25</v>
      </c>
      <c r="B12" s="4" t="s">
        <v>26</v>
      </c>
    </row>
    <row r="13" spans="1:2" ht="13.8" x14ac:dyDescent="0.3">
      <c r="A13" s="4" t="s">
        <v>27</v>
      </c>
      <c r="B13" s="4" t="b">
        <v>0</v>
      </c>
    </row>
    <row r="14" spans="1:2" ht="13.8" x14ac:dyDescent="0.3">
      <c r="A14" s="4" t="s">
        <v>28</v>
      </c>
      <c r="B14" s="4" t="b">
        <v>0</v>
      </c>
    </row>
    <row r="15" spans="1:2" ht="13.8" x14ac:dyDescent="0.3">
      <c r="A15" s="4" t="s">
        <v>29</v>
      </c>
      <c r="B15" s="4" t="b">
        <v>0</v>
      </c>
    </row>
    <row r="16" spans="1:2" ht="13.8" x14ac:dyDescent="0.3">
      <c r="A16" s="4" t="s">
        <v>30</v>
      </c>
      <c r="B16" s="4" t="b">
        <v>0</v>
      </c>
    </row>
    <row r="17" spans="1:2" ht="13.8" x14ac:dyDescent="0.3">
      <c r="A17" s="4" t="s">
        <v>31</v>
      </c>
      <c r="B17" s="4" t="b">
        <v>0</v>
      </c>
    </row>
    <row r="18" spans="1:2" ht="13.8" x14ac:dyDescent="0.3">
      <c r="A18" s="4" t="s">
        <v>32</v>
      </c>
      <c r="B18" s="4" t="b">
        <v>0</v>
      </c>
    </row>
    <row r="19" spans="1:2" ht="13.8" x14ac:dyDescent="0.3">
      <c r="A19" s="4" t="s">
        <v>33</v>
      </c>
      <c r="B19" s="4" t="b">
        <v>0</v>
      </c>
    </row>
    <row r="21" spans="1:2" ht="15.75" customHeight="1" x14ac:dyDescent="0.25">
      <c r="A21" s="5" t="s">
        <v>34</v>
      </c>
    </row>
    <row r="23" spans="1:2" ht="15.75" customHeight="1" x14ac:dyDescent="0.25">
      <c r="A23" s="5" t="s">
        <v>35</v>
      </c>
    </row>
    <row r="24" spans="1:2" ht="15.75" customHeight="1" x14ac:dyDescent="0.25">
      <c r="A24" s="5" t="s">
        <v>36</v>
      </c>
    </row>
    <row r="26" spans="1:2" ht="15.75" customHeight="1" x14ac:dyDescent="0.25">
      <c r="A26" s="5" t="s">
        <v>37</v>
      </c>
    </row>
    <row r="27" spans="1:2" ht="15.75" customHeight="1" x14ac:dyDescent="0.25">
      <c r="A27" s="5" t="s">
        <v>38</v>
      </c>
    </row>
    <row r="29" spans="1:2" ht="15.75" customHeight="1" x14ac:dyDescent="0.25">
      <c r="A29" s="5" t="s">
        <v>39</v>
      </c>
    </row>
    <row r="31" spans="1:2" ht="15.75" customHeight="1" x14ac:dyDescent="0.25">
      <c r="A31" s="5" t="s">
        <v>40</v>
      </c>
    </row>
    <row r="33" spans="1:1" ht="15.75" customHeight="1" x14ac:dyDescent="0.25">
      <c r="A33" s="5" t="s">
        <v>41</v>
      </c>
    </row>
    <row r="34" spans="1:1" ht="15.75" customHeight="1" x14ac:dyDescent="0.25">
      <c r="A34" s="5" t="s">
        <v>42</v>
      </c>
    </row>
    <row r="36" spans="1:1" ht="15.75" customHeight="1" x14ac:dyDescent="0.25">
      <c r="A36" s="5" t="s">
        <v>43</v>
      </c>
    </row>
    <row r="38" spans="1:1" ht="15.75" customHeight="1" x14ac:dyDescent="0.25">
      <c r="A38" s="5" t="s">
        <v>44</v>
      </c>
    </row>
    <row r="40" spans="1:1" ht="15.75" customHeight="1" x14ac:dyDescent="0.25">
      <c r="A40" s="5" t="s">
        <v>45</v>
      </c>
    </row>
    <row r="42" spans="1:1" ht="15.75" customHeight="1" x14ac:dyDescent="0.25">
      <c r="A42" s="5" t="s">
        <v>46</v>
      </c>
    </row>
    <row r="44" spans="1:1" ht="15.75" customHeight="1" x14ac:dyDescent="0.25">
      <c r="A44" s="5" t="s">
        <v>47</v>
      </c>
    </row>
    <row r="45" spans="1:1" ht="15.75" customHeight="1" x14ac:dyDescent="0.25">
      <c r="A45" s="5" t="s">
        <v>48</v>
      </c>
    </row>
    <row r="46" spans="1:1" ht="15.75" customHeight="1" x14ac:dyDescent="0.25">
      <c r="A46" s="5" t="s">
        <v>49</v>
      </c>
    </row>
    <row r="47" spans="1:1" ht="15.75" customHeight="1" x14ac:dyDescent="0.25">
      <c r="A47" s="5" t="s">
        <v>50</v>
      </c>
    </row>
    <row r="48" spans="1:1" ht="15.75" customHeight="1" x14ac:dyDescent="0.25">
      <c r="A48" s="5" t="s">
        <v>51</v>
      </c>
    </row>
    <row r="50" spans="1:1" ht="15.75" customHeight="1" x14ac:dyDescent="0.25">
      <c r="A50" s="5" t="s">
        <v>52</v>
      </c>
    </row>
    <row r="51" spans="1:1" ht="15.75" customHeight="1" x14ac:dyDescent="0.25">
      <c r="A51" s="5" t="s">
        <v>53</v>
      </c>
    </row>
    <row r="52" spans="1:1" ht="15.75" customHeight="1" x14ac:dyDescent="0.25">
      <c r="A52" s="5" t="s">
        <v>54</v>
      </c>
    </row>
    <row r="53" spans="1:1" ht="15.75" customHeight="1" x14ac:dyDescent="0.25">
      <c r="A53" s="5" t="s">
        <v>55</v>
      </c>
    </row>
    <row r="55" spans="1:1" ht="15.75" customHeight="1" x14ac:dyDescent="0.25">
      <c r="A55" s="5" t="s">
        <v>56</v>
      </c>
    </row>
    <row r="56" spans="1:1" ht="15.75" customHeight="1" x14ac:dyDescent="0.25">
      <c r="A56" s="5" t="s">
        <v>57</v>
      </c>
    </row>
    <row r="57" spans="1:1" ht="15.75" customHeight="1" x14ac:dyDescent="0.25">
      <c r="A57" s="5" t="s">
        <v>58</v>
      </c>
    </row>
    <row r="58" spans="1:1" ht="15.75" customHeight="1" x14ac:dyDescent="0.25">
      <c r="A58" s="5" t="s">
        <v>59</v>
      </c>
    </row>
    <row r="60" spans="1:1" ht="15.75" customHeight="1" x14ac:dyDescent="0.25">
      <c r="A60" s="5" t="s">
        <v>60</v>
      </c>
    </row>
    <row r="62" spans="1:1" ht="15.75" customHeight="1" x14ac:dyDescent="0.25">
      <c r="A62" s="5" t="s">
        <v>61</v>
      </c>
    </row>
    <row r="64" spans="1:1" ht="15.75" customHeight="1" x14ac:dyDescent="0.25">
      <c r="A64" s="5" t="s">
        <v>62</v>
      </c>
    </row>
    <row r="66" spans="1:1" ht="15.75" customHeight="1" x14ac:dyDescent="0.25">
      <c r="A66" s="5" t="s">
        <v>44</v>
      </c>
    </row>
    <row r="68" spans="1:1" ht="15.75" customHeight="1" x14ac:dyDescent="0.25">
      <c r="A68" s="5" t="s">
        <v>63</v>
      </c>
    </row>
    <row r="70" spans="1:1" ht="15.75" customHeight="1" x14ac:dyDescent="0.25">
      <c r="A70" s="5" t="s">
        <v>64</v>
      </c>
    </row>
    <row r="72" spans="1:1" ht="15.75" customHeight="1" x14ac:dyDescent="0.25">
      <c r="A72" s="5" t="s">
        <v>65</v>
      </c>
    </row>
    <row r="73" spans="1:1" ht="15.75" customHeight="1" x14ac:dyDescent="0.25">
      <c r="A73" s="5" t="s">
        <v>66</v>
      </c>
    </row>
    <row r="74" spans="1:1" ht="15.75" customHeight="1" x14ac:dyDescent="0.25">
      <c r="A74" s="5" t="s">
        <v>67</v>
      </c>
    </row>
    <row r="75" spans="1:1" ht="15.75" customHeight="1" x14ac:dyDescent="0.25">
      <c r="A75" s="5" t="s">
        <v>68</v>
      </c>
    </row>
    <row r="76" spans="1:1" ht="15.75" customHeight="1" x14ac:dyDescent="0.25">
      <c r="A76" s="5" t="s">
        <v>69</v>
      </c>
    </row>
    <row r="77" spans="1:1" ht="15.75" customHeight="1" x14ac:dyDescent="0.25">
      <c r="A77" s="5" t="s">
        <v>70</v>
      </c>
    </row>
    <row r="78" spans="1:1" ht="15.75" customHeight="1" x14ac:dyDescent="0.25">
      <c r="A78" s="5" t="s">
        <v>71</v>
      </c>
    </row>
    <row r="80" spans="1:1" ht="15.75" customHeight="1" x14ac:dyDescent="0.25">
      <c r="A80" s="5" t="s">
        <v>72</v>
      </c>
    </row>
    <row r="82" spans="1:1" ht="15.75" customHeight="1" x14ac:dyDescent="0.25">
      <c r="A82" s="5" t="s">
        <v>73</v>
      </c>
    </row>
    <row r="84" spans="1:1" ht="15.75" customHeight="1" x14ac:dyDescent="0.25">
      <c r="A84" s="5" t="s">
        <v>74</v>
      </c>
    </row>
    <row r="85" spans="1:1" ht="15.75" customHeight="1" x14ac:dyDescent="0.25">
      <c r="A85" s="5" t="s">
        <v>75</v>
      </c>
    </row>
    <row r="86" spans="1:1" ht="15.75" customHeight="1" x14ac:dyDescent="0.25">
      <c r="A86" s="5" t="s">
        <v>76</v>
      </c>
    </row>
    <row r="87" spans="1:1" ht="15.75" customHeight="1" x14ac:dyDescent="0.25">
      <c r="A87" s="5" t="s">
        <v>77</v>
      </c>
    </row>
    <row r="88" spans="1:1" ht="15.75" customHeight="1" x14ac:dyDescent="0.25">
      <c r="A88" s="5" t="s">
        <v>78</v>
      </c>
    </row>
    <row r="90" spans="1:1" ht="15.75" customHeight="1" x14ac:dyDescent="0.25">
      <c r="A90" s="5" t="s">
        <v>79</v>
      </c>
    </row>
    <row r="92" spans="1:1" ht="15.75" customHeight="1" x14ac:dyDescent="0.25">
      <c r="A92" s="5" t="s">
        <v>80</v>
      </c>
    </row>
    <row r="94" spans="1:1" ht="15.75" customHeight="1" x14ac:dyDescent="0.25">
      <c r="A94" s="5" t="s">
        <v>81</v>
      </c>
    </row>
    <row r="95" spans="1:1" ht="15.75" customHeight="1" x14ac:dyDescent="0.25">
      <c r="A95" s="5" t="s">
        <v>263</v>
      </c>
    </row>
    <row r="97" spans="1:1" ht="15.75" customHeight="1" x14ac:dyDescent="0.25">
      <c r="A97" s="5" t="s">
        <v>82</v>
      </c>
    </row>
    <row r="98" spans="1:1" ht="15.75" customHeight="1" x14ac:dyDescent="0.25">
      <c r="A98" s="5" t="s">
        <v>83</v>
      </c>
    </row>
    <row r="99" spans="1:1" ht="15.75" customHeight="1" x14ac:dyDescent="0.25">
      <c r="A99" s="5" t="s">
        <v>84</v>
      </c>
    </row>
    <row r="101" spans="1:1" ht="15.75" customHeight="1" x14ac:dyDescent="0.25">
      <c r="A101" s="5" t="s">
        <v>85</v>
      </c>
    </row>
    <row r="103" spans="1:1" ht="15.75" customHeight="1" x14ac:dyDescent="0.25">
      <c r="A103" s="5" t="s">
        <v>86</v>
      </c>
    </row>
    <row r="104" spans="1:1" ht="15.75" customHeight="1" x14ac:dyDescent="0.25">
      <c r="A104" s="5" t="s">
        <v>87</v>
      </c>
    </row>
    <row r="105" spans="1:1" ht="15.75" customHeight="1" x14ac:dyDescent="0.25">
      <c r="A105" s="5" t="s">
        <v>264</v>
      </c>
    </row>
    <row r="106" spans="1:1" ht="15.75" customHeight="1" x14ac:dyDescent="0.25">
      <c r="A106" s="5" t="s">
        <v>265</v>
      </c>
    </row>
    <row r="107" spans="1:1" ht="15.75" customHeight="1" x14ac:dyDescent="0.25">
      <c r="A107" s="5" t="s">
        <v>266</v>
      </c>
    </row>
    <row r="108" spans="1:1" ht="15.75" customHeight="1" x14ac:dyDescent="0.25">
      <c r="A108" s="5" t="s">
        <v>267</v>
      </c>
    </row>
    <row r="109" spans="1:1" ht="15.75" customHeight="1" x14ac:dyDescent="0.25">
      <c r="A109" s="5" t="s">
        <v>268</v>
      </c>
    </row>
    <row r="110" spans="1:1" ht="15.75" customHeight="1" x14ac:dyDescent="0.25">
      <c r="A110" s="5" t="s">
        <v>269</v>
      </c>
    </row>
    <row r="111" spans="1:1" ht="15.75" customHeight="1" x14ac:dyDescent="0.25">
      <c r="A111" s="5" t="s">
        <v>270</v>
      </c>
    </row>
    <row r="112" spans="1:1" ht="15.75" customHeight="1" x14ac:dyDescent="0.25">
      <c r="A112" s="5" t="s">
        <v>271</v>
      </c>
    </row>
    <row r="113" spans="1:1" ht="15.75" customHeight="1" x14ac:dyDescent="0.25">
      <c r="A113" s="5" t="s">
        <v>272</v>
      </c>
    </row>
    <row r="115" spans="1:1" ht="15.75" customHeight="1" x14ac:dyDescent="0.25">
      <c r="A115" s="5" t="s">
        <v>88</v>
      </c>
    </row>
    <row r="116" spans="1:1" ht="15.75" customHeight="1" x14ac:dyDescent="0.25">
      <c r="A116" s="5" t="s">
        <v>273</v>
      </c>
    </row>
    <row r="117" spans="1:1" ht="15.75" customHeight="1" x14ac:dyDescent="0.25">
      <c r="A117" s="5" t="s">
        <v>274</v>
      </c>
    </row>
    <row r="118" spans="1:1" ht="15.75" customHeight="1" x14ac:dyDescent="0.25">
      <c r="A118" s="5" t="s">
        <v>275</v>
      </c>
    </row>
    <row r="120" spans="1:1" ht="15.75" customHeight="1" x14ac:dyDescent="0.25">
      <c r="A120" s="5" t="s">
        <v>276</v>
      </c>
    </row>
    <row r="121" spans="1:1" ht="15.75" customHeight="1" x14ac:dyDescent="0.25">
      <c r="A121" s="5" t="s">
        <v>277</v>
      </c>
    </row>
    <row r="122" spans="1:1" ht="15.75" customHeight="1" x14ac:dyDescent="0.25">
      <c r="A122" s="5" t="s">
        <v>278</v>
      </c>
    </row>
    <row r="124" spans="1:1" ht="15.75" customHeight="1" x14ac:dyDescent="0.25">
      <c r="A124" s="5" t="s">
        <v>279</v>
      </c>
    </row>
    <row r="126" spans="1:1" ht="15.75" customHeight="1" x14ac:dyDescent="0.25">
      <c r="A126" s="5" t="s">
        <v>280</v>
      </c>
    </row>
    <row r="127" spans="1:1" ht="15.75" customHeight="1" x14ac:dyDescent="0.25">
      <c r="A127" s="5" t="s">
        <v>281</v>
      </c>
    </row>
    <row r="128" spans="1:1" ht="15.75" customHeight="1" x14ac:dyDescent="0.25">
      <c r="A128" s="5" t="s">
        <v>282</v>
      </c>
    </row>
    <row r="129" spans="1:1" ht="15.75" customHeight="1" x14ac:dyDescent="0.25">
      <c r="A129" s="5" t="s">
        <v>283</v>
      </c>
    </row>
    <row r="130" spans="1:1" ht="15.75" customHeight="1" x14ac:dyDescent="0.25">
      <c r="A130" s="5" t="s">
        <v>284</v>
      </c>
    </row>
    <row r="131" spans="1:1" ht="15.75" customHeight="1" x14ac:dyDescent="0.25">
      <c r="A131" s="5" t="s">
        <v>285</v>
      </c>
    </row>
    <row r="132" spans="1:1" ht="15.75" customHeight="1" x14ac:dyDescent="0.25">
      <c r="A132" s="5" t="s">
        <v>286</v>
      </c>
    </row>
    <row r="134" spans="1:1" ht="15.75" customHeight="1" x14ac:dyDescent="0.25">
      <c r="A134" s="5" t="s">
        <v>287</v>
      </c>
    </row>
    <row r="136" spans="1:1" ht="15.75" customHeight="1" x14ac:dyDescent="0.25">
      <c r="A136" s="5" t="s">
        <v>288</v>
      </c>
    </row>
    <row r="137" spans="1:1" ht="15.75" customHeight="1" x14ac:dyDescent="0.25">
      <c r="A137" s="5" t="s">
        <v>289</v>
      </c>
    </row>
    <row r="138" spans="1:1" ht="15.75" customHeight="1" x14ac:dyDescent="0.25">
      <c r="A138" s="5" t="s">
        <v>290</v>
      </c>
    </row>
    <row r="139" spans="1:1" ht="15.75" customHeight="1" x14ac:dyDescent="0.25">
      <c r="A139" s="5" t="s">
        <v>291</v>
      </c>
    </row>
    <row r="140" spans="1:1" ht="15.75" customHeight="1" x14ac:dyDescent="0.25">
      <c r="A140" s="5" t="s">
        <v>292</v>
      </c>
    </row>
    <row r="141" spans="1:1" ht="15.75" customHeight="1" x14ac:dyDescent="0.25">
      <c r="A141" s="5" t="s">
        <v>293</v>
      </c>
    </row>
    <row r="142" spans="1:1" ht="15.75" customHeight="1" x14ac:dyDescent="0.25">
      <c r="A142" s="5"/>
    </row>
    <row r="143" spans="1:1" ht="15.75" customHeight="1" x14ac:dyDescent="0.25">
      <c r="A143" s="5" t="s">
        <v>294</v>
      </c>
    </row>
    <row r="144" spans="1:1" ht="15.75" customHeight="1" x14ac:dyDescent="0.25">
      <c r="A144" s="5" t="s">
        <v>295</v>
      </c>
    </row>
    <row r="145" spans="1:1" ht="15.75" customHeight="1" x14ac:dyDescent="0.25">
      <c r="A145" s="5" t="s">
        <v>296</v>
      </c>
    </row>
    <row r="146" spans="1:1" ht="15.75" customHeight="1" x14ac:dyDescent="0.25">
      <c r="A146" s="5" t="s">
        <v>297</v>
      </c>
    </row>
    <row r="147" spans="1:1" ht="15.75" customHeight="1" x14ac:dyDescent="0.25">
      <c r="A147" s="5" t="s">
        <v>298</v>
      </c>
    </row>
    <row r="148" spans="1:1" ht="15.75" customHeight="1" x14ac:dyDescent="0.25">
      <c r="A148" s="5" t="s">
        <v>299</v>
      </c>
    </row>
    <row r="149" spans="1:1" ht="15.75" customHeight="1" x14ac:dyDescent="0.25">
      <c r="A149" s="5" t="s">
        <v>300</v>
      </c>
    </row>
    <row r="150" spans="1:1" ht="15.75" customHeight="1" x14ac:dyDescent="0.25">
      <c r="A150" s="5" t="s">
        <v>301</v>
      </c>
    </row>
    <row r="151" spans="1:1" ht="15.75" customHeight="1" x14ac:dyDescent="0.25">
      <c r="A151" s="5" t="s">
        <v>302</v>
      </c>
    </row>
    <row r="152" spans="1:1" ht="15.75" customHeight="1" x14ac:dyDescent="0.25">
      <c r="A152" s="5" t="s">
        <v>303</v>
      </c>
    </row>
    <row r="154" spans="1:1" ht="15.75" customHeight="1" x14ac:dyDescent="0.25">
      <c r="A154" s="5" t="s">
        <v>287</v>
      </c>
    </row>
    <row r="155" spans="1:1" ht="15.75" customHeight="1" x14ac:dyDescent="0.25">
      <c r="A155" s="5" t="s">
        <v>304</v>
      </c>
    </row>
    <row r="156" spans="1:1" ht="15.75" customHeight="1" x14ac:dyDescent="0.25">
      <c r="A156" s="5"/>
    </row>
    <row r="157" spans="1:1" ht="15.75" customHeight="1" x14ac:dyDescent="0.25">
      <c r="A157" s="5" t="s">
        <v>89</v>
      </c>
    </row>
    <row r="158" spans="1:1" ht="15.75" customHeight="1" x14ac:dyDescent="0.25">
      <c r="A158" s="5" t="s">
        <v>305</v>
      </c>
    </row>
    <row r="159" spans="1:1" ht="15.75" customHeight="1" x14ac:dyDescent="0.25">
      <c r="A159" s="5" t="s">
        <v>78</v>
      </c>
    </row>
    <row r="160" spans="1:1" ht="15.75" customHeight="1" x14ac:dyDescent="0.25">
      <c r="A160" s="5"/>
    </row>
    <row r="162" spans="1:1" ht="15.75" customHeight="1" x14ac:dyDescent="0.25">
      <c r="A162" s="5" t="s">
        <v>90</v>
      </c>
    </row>
    <row r="163" spans="1:1" ht="15.75" customHeight="1" x14ac:dyDescent="0.25">
      <c r="A163" s="5" t="s">
        <v>91</v>
      </c>
    </row>
    <row r="164" spans="1:1" ht="15.75" customHeight="1" x14ac:dyDescent="0.25">
      <c r="A164" s="5" t="s">
        <v>92</v>
      </c>
    </row>
    <row r="165" spans="1:1" ht="15.75" customHeight="1" x14ac:dyDescent="0.25">
      <c r="A165" s="5" t="s">
        <v>78</v>
      </c>
    </row>
    <row r="167" spans="1:1" ht="15.75" customHeight="1" x14ac:dyDescent="0.25">
      <c r="A167" s="5" t="s">
        <v>93</v>
      </c>
    </row>
    <row r="168" spans="1:1" ht="15.75" customHeight="1" x14ac:dyDescent="0.25">
      <c r="A168" s="5" t="s">
        <v>94</v>
      </c>
    </row>
    <row r="170" spans="1:1" ht="15.75" customHeight="1" x14ac:dyDescent="0.25">
      <c r="A170" s="5" t="s">
        <v>44</v>
      </c>
    </row>
    <row r="172" spans="1:1" ht="15.75" customHeight="1" x14ac:dyDescent="0.25">
      <c r="A172" s="5" t="s">
        <v>95</v>
      </c>
    </row>
    <row r="174" spans="1:1" ht="15.75" customHeight="1" x14ac:dyDescent="0.25">
      <c r="A174" s="5" t="s">
        <v>96</v>
      </c>
    </row>
    <row r="176" spans="1:1" ht="15.75" customHeight="1" x14ac:dyDescent="0.25">
      <c r="A176" s="5" t="s">
        <v>97</v>
      </c>
    </row>
    <row r="177" spans="1:1" ht="15.75" customHeight="1" x14ac:dyDescent="0.25">
      <c r="A177" s="5" t="s">
        <v>98</v>
      </c>
    </row>
    <row r="178" spans="1:1" ht="15.75" customHeight="1" x14ac:dyDescent="0.25">
      <c r="A178" s="5" t="s">
        <v>99</v>
      </c>
    </row>
    <row r="179" spans="1:1" ht="15.75" customHeight="1" x14ac:dyDescent="0.25">
      <c r="A179" s="5" t="s">
        <v>100</v>
      </c>
    </row>
    <row r="180" spans="1:1" ht="15.75" customHeight="1" x14ac:dyDescent="0.25">
      <c r="A180" s="5" t="s">
        <v>101</v>
      </c>
    </row>
    <row r="181" spans="1:1" ht="15.75" customHeight="1" x14ac:dyDescent="0.25">
      <c r="A181" s="5" t="s">
        <v>102</v>
      </c>
    </row>
    <row r="183" spans="1:1" ht="15.75" customHeight="1" x14ac:dyDescent="0.25">
      <c r="A183" s="5" t="s">
        <v>103</v>
      </c>
    </row>
    <row r="185" spans="1:1" ht="15.75" customHeight="1" x14ac:dyDescent="0.25">
      <c r="A185" s="5" t="s">
        <v>104</v>
      </c>
    </row>
    <row r="187" spans="1:1" ht="15.75" customHeight="1" x14ac:dyDescent="0.25">
      <c r="A187" s="5" t="s">
        <v>44</v>
      </c>
    </row>
    <row r="189" spans="1:1" ht="15.75" customHeight="1" x14ac:dyDescent="0.25">
      <c r="A189" s="5" t="s">
        <v>105</v>
      </c>
    </row>
    <row r="191" spans="1:1" ht="15.75" customHeight="1" x14ac:dyDescent="0.25">
      <c r="A191" s="5" t="s">
        <v>106</v>
      </c>
    </row>
    <row r="192" spans="1:1" ht="15.75" customHeight="1" x14ac:dyDescent="0.25">
      <c r="A192" s="5" t="s">
        <v>36</v>
      </c>
    </row>
    <row r="194" spans="1:1" ht="15.75" customHeight="1" x14ac:dyDescent="0.25">
      <c r="A194" s="5" t="s">
        <v>107</v>
      </c>
    </row>
    <row r="196" spans="1:1" ht="15.75" customHeight="1" x14ac:dyDescent="0.25">
      <c r="A196" s="5" t="s">
        <v>108</v>
      </c>
    </row>
    <row r="198" spans="1:1" ht="15.75" customHeight="1" x14ac:dyDescent="0.25">
      <c r="A198" s="5" t="s">
        <v>109</v>
      </c>
    </row>
    <row r="200" spans="1:1" ht="15.75" customHeight="1" x14ac:dyDescent="0.25">
      <c r="A200" s="5" t="s">
        <v>110</v>
      </c>
    </row>
    <row r="201" spans="1:1" ht="15.75" customHeight="1" x14ac:dyDescent="0.25">
      <c r="A201" s="5" t="s">
        <v>111</v>
      </c>
    </row>
    <row r="202" spans="1:1" ht="15.75" customHeight="1" x14ac:dyDescent="0.25">
      <c r="A202" s="5" t="s">
        <v>112</v>
      </c>
    </row>
    <row r="203" spans="1:1" ht="15.75" customHeight="1" x14ac:dyDescent="0.25">
      <c r="A203" s="5" t="s">
        <v>113</v>
      </c>
    </row>
    <row r="204" spans="1:1" ht="15.75" customHeight="1" x14ac:dyDescent="0.25">
      <c r="A204" s="5" t="s">
        <v>114</v>
      </c>
    </row>
    <row r="205" spans="1:1" ht="15.75" customHeight="1" x14ac:dyDescent="0.25">
      <c r="A205" s="5" t="s">
        <v>78</v>
      </c>
    </row>
    <row r="207" spans="1:1" ht="15.75" customHeight="1" x14ac:dyDescent="0.25">
      <c r="A207" s="5" t="s">
        <v>115</v>
      </c>
    </row>
    <row r="209" spans="1:1" ht="15.75" customHeight="1" x14ac:dyDescent="0.25">
      <c r="A209" s="5" t="s">
        <v>116</v>
      </c>
    </row>
    <row r="211" spans="1:1" ht="15.75" customHeight="1" x14ac:dyDescent="0.25">
      <c r="A211" s="5" t="s">
        <v>117</v>
      </c>
    </row>
    <row r="213" spans="1:1" ht="15.75" customHeight="1" x14ac:dyDescent="0.25">
      <c r="A213" s="5" t="s">
        <v>110</v>
      </c>
    </row>
    <row r="214" spans="1:1" ht="15.75" customHeight="1" x14ac:dyDescent="0.25">
      <c r="A214" s="5" t="s">
        <v>118</v>
      </c>
    </row>
    <row r="215" spans="1:1" ht="15.75" customHeight="1" x14ac:dyDescent="0.25">
      <c r="A215" s="5" t="s">
        <v>119</v>
      </c>
    </row>
    <row r="216" spans="1:1" ht="15.75" customHeight="1" x14ac:dyDescent="0.25">
      <c r="A216" s="5" t="s">
        <v>120</v>
      </c>
    </row>
    <row r="217" spans="1:1" ht="15.75" customHeight="1" x14ac:dyDescent="0.25">
      <c r="A217" s="5" t="s">
        <v>121</v>
      </c>
    </row>
    <row r="218" spans="1:1" ht="15.75" customHeight="1" x14ac:dyDescent="0.25">
      <c r="A218" s="5" t="s">
        <v>122</v>
      </c>
    </row>
    <row r="219" spans="1:1" ht="15.75" customHeight="1" x14ac:dyDescent="0.25">
      <c r="A219" s="5" t="s">
        <v>123</v>
      </c>
    </row>
    <row r="220" spans="1:1" ht="15.75" customHeight="1" x14ac:dyDescent="0.25">
      <c r="A220" s="5" t="s">
        <v>124</v>
      </c>
    </row>
    <row r="221" spans="1:1" ht="13.2" x14ac:dyDescent="0.25">
      <c r="A221" s="5" t="s">
        <v>125</v>
      </c>
    </row>
    <row r="222" spans="1:1" ht="13.2" x14ac:dyDescent="0.25">
      <c r="A222" s="5" t="s">
        <v>78</v>
      </c>
    </row>
    <row r="223" spans="1:1" ht="13.2" x14ac:dyDescent="0.25"/>
    <row r="224" spans="1:1" ht="13.2" x14ac:dyDescent="0.25">
      <c r="A224" s="5" t="s">
        <v>126</v>
      </c>
    </row>
    <row r="225" spans="1:1" ht="13.2" x14ac:dyDescent="0.25"/>
    <row r="226" spans="1:1" ht="13.2" x14ac:dyDescent="0.25">
      <c r="A226" s="5" t="s">
        <v>44</v>
      </c>
    </row>
    <row r="227" spans="1:1" ht="13.2" x14ac:dyDescent="0.25"/>
    <row r="228" spans="1:1" ht="13.2" x14ac:dyDescent="0.25">
      <c r="A228" s="5" t="s">
        <v>127</v>
      </c>
    </row>
    <row r="229" spans="1:1" ht="13.2" x14ac:dyDescent="0.25"/>
    <row r="230" spans="1:1" ht="13.2" x14ac:dyDescent="0.25">
      <c r="A230" s="5" t="s">
        <v>128</v>
      </c>
    </row>
    <row r="231" spans="1:1" ht="13.2" x14ac:dyDescent="0.25"/>
    <row r="232" spans="1:1" ht="13.2" x14ac:dyDescent="0.25">
      <c r="A232" s="5" t="s">
        <v>129</v>
      </c>
    </row>
    <row r="233" spans="1:1" ht="13.2" x14ac:dyDescent="0.25">
      <c r="A233" s="5" t="s">
        <v>130</v>
      </c>
    </row>
    <row r="234" spans="1:1" ht="13.2" x14ac:dyDescent="0.25">
      <c r="A234" s="5" t="s">
        <v>131</v>
      </c>
    </row>
    <row r="235" spans="1:1" ht="13.2" x14ac:dyDescent="0.25">
      <c r="A235" s="5" t="s">
        <v>132</v>
      </c>
    </row>
    <row r="236" spans="1:1" ht="13.2" x14ac:dyDescent="0.25">
      <c r="A236" s="5" t="s">
        <v>133</v>
      </c>
    </row>
    <row r="237" spans="1:1" ht="13.2" x14ac:dyDescent="0.25"/>
    <row r="238" spans="1:1" ht="13.2" x14ac:dyDescent="0.25">
      <c r="A238" s="5" t="s">
        <v>134</v>
      </c>
    </row>
    <row r="239" spans="1:1" ht="13.2" x14ac:dyDescent="0.25"/>
    <row r="240" spans="1:1" ht="13.2" x14ac:dyDescent="0.25">
      <c r="A240" s="5" t="s">
        <v>44</v>
      </c>
    </row>
    <row r="241" spans="1:1" ht="13.2" x14ac:dyDescent="0.25"/>
    <row r="242" spans="1:1" ht="13.2" x14ac:dyDescent="0.25">
      <c r="A242" s="5" t="s">
        <v>135</v>
      </c>
    </row>
    <row r="243" spans="1:1" ht="13.2" x14ac:dyDescent="0.25"/>
    <row r="244" spans="1:1" ht="13.2" x14ac:dyDescent="0.25">
      <c r="A244" s="5" t="s">
        <v>136</v>
      </c>
    </row>
    <row r="245" spans="1:1" ht="13.2" x14ac:dyDescent="0.25"/>
    <row r="246" spans="1:1" ht="13.2" x14ac:dyDescent="0.25">
      <c r="A246" s="5" t="s">
        <v>137</v>
      </c>
    </row>
    <row r="247" spans="1:1" ht="13.2" x14ac:dyDescent="0.25">
      <c r="A247" s="5" t="s">
        <v>138</v>
      </c>
    </row>
    <row r="248" spans="1:1" ht="13.2" x14ac:dyDescent="0.25">
      <c r="A248" s="5" t="s">
        <v>139</v>
      </c>
    </row>
    <row r="249" spans="1:1" ht="13.2" x14ac:dyDescent="0.25">
      <c r="A249" s="5" t="s">
        <v>140</v>
      </c>
    </row>
    <row r="250" spans="1:1" ht="13.2" x14ac:dyDescent="0.25">
      <c r="A250" s="5" t="s">
        <v>141</v>
      </c>
    </row>
    <row r="251" spans="1:1" ht="13.2" x14ac:dyDescent="0.25">
      <c r="A251" s="5" t="s">
        <v>142</v>
      </c>
    </row>
    <row r="252" spans="1:1" ht="13.2" x14ac:dyDescent="0.25"/>
    <row r="253" spans="1:1" ht="13.2" x14ac:dyDescent="0.25">
      <c r="A253" s="5" t="s">
        <v>143</v>
      </c>
    </row>
    <row r="254" spans="1:1" ht="13.2" x14ac:dyDescent="0.25"/>
    <row r="255" spans="1:1" ht="13.2" x14ac:dyDescent="0.25">
      <c r="A255" s="6"/>
    </row>
    <row r="256" spans="1:1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3.44140625" customWidth="1"/>
    <col min="2" max="2" width="14" customWidth="1"/>
    <col min="3" max="3" width="20.77734375" customWidth="1"/>
    <col min="4" max="4" width="20.6640625" customWidth="1"/>
    <col min="5" max="5" width="31.77734375" customWidth="1"/>
    <col min="6" max="6" width="7.6640625" customWidth="1"/>
  </cols>
  <sheetData>
    <row r="1" spans="1:7" ht="22.5" customHeight="1" x14ac:dyDescent="0.25">
      <c r="A1" s="7" t="s">
        <v>144</v>
      </c>
      <c r="B1" s="7" t="s">
        <v>145</v>
      </c>
      <c r="C1" s="7" t="s">
        <v>146</v>
      </c>
      <c r="D1" s="7" t="s">
        <v>147</v>
      </c>
      <c r="E1" s="7" t="s">
        <v>148</v>
      </c>
      <c r="F1" s="7" t="s">
        <v>0</v>
      </c>
      <c r="G1" s="7" t="s">
        <v>1</v>
      </c>
    </row>
    <row r="2" spans="1:7" ht="22.5" customHeight="1" x14ac:dyDescent="0.25">
      <c r="A2" s="8" t="s">
        <v>149</v>
      </c>
      <c r="B2" s="8" t="s">
        <v>150</v>
      </c>
      <c r="C2" s="9">
        <v>2.1999999999999998E-18</v>
      </c>
      <c r="E2" s="8" t="s">
        <v>151</v>
      </c>
      <c r="F2" s="8"/>
      <c r="G2" s="8"/>
    </row>
    <row r="3" spans="1:7" ht="22.5" customHeight="1" x14ac:dyDescent="0.25">
      <c r="A3" s="8" t="s">
        <v>152</v>
      </c>
      <c r="B3" s="8" t="s">
        <v>153</v>
      </c>
      <c r="C3" s="8">
        <v>0.315</v>
      </c>
      <c r="E3" s="8" t="s">
        <v>154</v>
      </c>
      <c r="F3" s="8"/>
      <c r="G3" s="8"/>
    </row>
    <row r="4" spans="1:7" ht="22.5" customHeight="1" x14ac:dyDescent="0.25">
      <c r="A4" s="8" t="s">
        <v>155</v>
      </c>
      <c r="B4" s="8" t="s">
        <v>153</v>
      </c>
      <c r="C4" s="8">
        <v>0.68500000000000005</v>
      </c>
      <c r="E4" s="8" t="s">
        <v>156</v>
      </c>
      <c r="F4" s="8"/>
      <c r="G4" s="8"/>
    </row>
    <row r="5" spans="1:7" ht="22.5" customHeight="1" x14ac:dyDescent="0.25">
      <c r="A5" s="8" t="s">
        <v>157</v>
      </c>
      <c r="B5" s="8" t="s">
        <v>158</v>
      </c>
      <c r="C5" s="8">
        <v>299792458</v>
      </c>
      <c r="E5" s="8" t="s">
        <v>159</v>
      </c>
      <c r="F5" s="8"/>
      <c r="G5" s="8"/>
    </row>
    <row r="6" spans="1:7" ht="22.5" customHeight="1" x14ac:dyDescent="0.25">
      <c r="A6" s="8" t="s">
        <v>160</v>
      </c>
      <c r="B6" s="8" t="s">
        <v>161</v>
      </c>
      <c r="C6" s="9">
        <v>6.6742999999999994E-11</v>
      </c>
      <c r="E6" s="8" t="s">
        <v>162</v>
      </c>
      <c r="F6" s="8"/>
      <c r="G6" s="8"/>
    </row>
    <row r="7" spans="1:7" ht="22.5" customHeight="1" x14ac:dyDescent="0.25">
      <c r="A7" s="8" t="s">
        <v>163</v>
      </c>
      <c r="B7" s="8" t="s">
        <v>153</v>
      </c>
      <c r="C7" s="8">
        <v>0</v>
      </c>
      <c r="E7" s="8" t="s">
        <v>164</v>
      </c>
      <c r="F7" s="8">
        <v>0</v>
      </c>
      <c r="G7" s="8" t="s">
        <v>262</v>
      </c>
    </row>
    <row r="8" spans="1:7" ht="22.5" customHeight="1" x14ac:dyDescent="0.25">
      <c r="A8" s="8" t="s">
        <v>165</v>
      </c>
      <c r="B8" s="8" t="s">
        <v>153</v>
      </c>
      <c r="C8" s="8">
        <v>1</v>
      </c>
      <c r="E8" s="8" t="s">
        <v>166</v>
      </c>
      <c r="F8" s="8"/>
      <c r="G8" s="8"/>
    </row>
    <row r="9" spans="1:7" ht="22.5" customHeight="1" x14ac:dyDescent="0.25">
      <c r="A9" s="8" t="s">
        <v>167</v>
      </c>
      <c r="B9" s="8" t="s">
        <v>168</v>
      </c>
      <c r="C9" s="8">
        <v>8.5000000000000003E-27</v>
      </c>
      <c r="E9" s="8" t="s">
        <v>169</v>
      </c>
      <c r="F9" s="8"/>
      <c r="G9" s="8"/>
    </row>
    <row r="10" spans="1:7" ht="22.5" customHeight="1" x14ac:dyDescent="0.25">
      <c r="A10" s="8" t="s">
        <v>170</v>
      </c>
      <c r="B10" s="8" t="s">
        <v>171</v>
      </c>
      <c r="C10" s="9">
        <v>1.11E-52</v>
      </c>
      <c r="E10" s="8" t="s">
        <v>172</v>
      </c>
      <c r="F10" s="8"/>
      <c r="G10" s="8"/>
    </row>
    <row r="11" spans="1:7" ht="22.5" customHeight="1" x14ac:dyDescent="0.25">
      <c r="A11" s="8" t="s">
        <v>173</v>
      </c>
      <c r="B11" s="8" t="s">
        <v>174</v>
      </c>
      <c r="C11" s="9">
        <v>3.32E-36</v>
      </c>
      <c r="D11" s="8" t="s">
        <v>262</v>
      </c>
      <c r="E11" s="8" t="s">
        <v>175</v>
      </c>
      <c r="F11" s="8"/>
      <c r="G11" s="8"/>
    </row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conditionalFormatting sqref="C2:C11">
    <cfRule type="notContainsBlanks" dxfId="0" priority="1" stopIfTrue="1">
      <formula>LEN(TRIM(C2))&gt;0</formula>
    </cfRule>
  </conditionalFormatting>
  <dataValidations count="1">
    <dataValidation type="custom" allowBlank="1" showDropDown="1" sqref="C2:C11" xr:uid="{00000000-0002-0000-0200-000000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2.6640625" defaultRowHeight="15.75" customHeight="1" x14ac:dyDescent="0.25"/>
  <cols>
    <col min="1" max="6" width="7.6640625" customWidth="1"/>
  </cols>
  <sheetData>
    <row r="1" spans="1:5" ht="14.4" x14ac:dyDescent="0.25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</row>
    <row r="2" spans="1:5" ht="13.8" x14ac:dyDescent="0.3">
      <c r="A2" s="4" t="s">
        <v>176</v>
      </c>
      <c r="B2" s="4" t="s">
        <v>177</v>
      </c>
      <c r="C2" s="4">
        <v>7.9538799999999996E+36</v>
      </c>
      <c r="E2" s="4" t="s">
        <v>178</v>
      </c>
    </row>
    <row r="3" spans="1:5" ht="13.8" x14ac:dyDescent="0.3">
      <c r="A3" s="4" t="s">
        <v>179</v>
      </c>
      <c r="B3" s="4" t="s">
        <v>180</v>
      </c>
      <c r="D3" s="4" t="s">
        <v>262</v>
      </c>
      <c r="E3" s="4" t="s">
        <v>181</v>
      </c>
    </row>
    <row r="4" spans="1:5" ht="13.8" x14ac:dyDescent="0.3">
      <c r="A4" s="4" t="s">
        <v>182</v>
      </c>
      <c r="B4" s="4" t="s">
        <v>183</v>
      </c>
      <c r="D4" s="4" t="s">
        <v>262</v>
      </c>
      <c r="E4" s="4" t="s">
        <v>184</v>
      </c>
    </row>
    <row r="5" spans="1:5" ht="13.8" x14ac:dyDescent="0.3">
      <c r="A5" s="4" t="s">
        <v>185</v>
      </c>
      <c r="B5" s="4" t="s">
        <v>186</v>
      </c>
      <c r="D5" s="4" t="s">
        <v>262</v>
      </c>
      <c r="E5" s="4" t="s">
        <v>187</v>
      </c>
    </row>
    <row r="6" spans="1:5" ht="13.8" x14ac:dyDescent="0.3">
      <c r="A6" s="4" t="s">
        <v>188</v>
      </c>
      <c r="B6" s="4" t="s">
        <v>189</v>
      </c>
      <c r="D6" s="4" t="e">
        <f>P_H / (1.380649E-23)</f>
        <v>#NAME?</v>
      </c>
      <c r="E6" s="4" t="s">
        <v>190</v>
      </c>
    </row>
    <row r="29" spans="2:2" ht="15.75" customHeight="1" x14ac:dyDescent="0.3">
      <c r="B29" s="10"/>
    </row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2.6640625" defaultRowHeight="15.75" customHeight="1" x14ac:dyDescent="0.25"/>
  <cols>
    <col min="1" max="6" width="7.6640625" customWidth="1"/>
  </cols>
  <sheetData>
    <row r="1" spans="1:5" ht="14.4" x14ac:dyDescent="0.25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</row>
    <row r="2" spans="1:5" ht="13.8" x14ac:dyDescent="0.3">
      <c r="A2" s="4" t="s">
        <v>191</v>
      </c>
      <c r="B2" s="4" t="s">
        <v>192</v>
      </c>
      <c r="E2" s="4" t="s">
        <v>193</v>
      </c>
    </row>
    <row r="3" spans="1:5" ht="13.8" x14ac:dyDescent="0.3">
      <c r="A3" s="4" t="s">
        <v>194</v>
      </c>
      <c r="B3" s="4" t="s">
        <v>195</v>
      </c>
      <c r="C3" s="4">
        <v>9.9999999999999995E-7</v>
      </c>
      <c r="E3" s="4" t="s">
        <v>196</v>
      </c>
    </row>
    <row r="4" spans="1:5" ht="13.8" x14ac:dyDescent="0.3">
      <c r="A4" s="4" t="s">
        <v>197</v>
      </c>
      <c r="B4" s="4" t="s">
        <v>198</v>
      </c>
      <c r="D4" s="4" t="e">
        <f>- (PI()^2) * (6.62607015E-34 * 299792458) / (240 * d^4)</f>
        <v>#NAME?</v>
      </c>
      <c r="E4" s="4" t="s">
        <v>199</v>
      </c>
    </row>
    <row r="5" spans="1:5" ht="13.8" x14ac:dyDescent="0.3">
      <c r="A5" s="4" t="s">
        <v>200</v>
      </c>
      <c r="B5" s="4" t="s">
        <v>153</v>
      </c>
      <c r="D5" s="4" t="e">
        <f>ABS(Pc)</f>
        <v>#NAME?</v>
      </c>
      <c r="E5" s="4" t="s">
        <v>201</v>
      </c>
    </row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defaultColWidth="12.6640625" defaultRowHeight="15.75" customHeight="1" x14ac:dyDescent="0.25"/>
  <cols>
    <col min="1" max="6" width="7.6640625" customWidth="1"/>
  </cols>
  <sheetData>
    <row r="1" spans="1:5" ht="14.4" x14ac:dyDescent="0.25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</row>
    <row r="2" spans="1:5" ht="13.8" x14ac:dyDescent="0.3">
      <c r="A2" s="4" t="s">
        <v>202</v>
      </c>
      <c r="B2" s="4" t="s">
        <v>186</v>
      </c>
      <c r="C2" s="4">
        <v>20</v>
      </c>
      <c r="E2" s="4" t="s">
        <v>203</v>
      </c>
    </row>
    <row r="3" spans="1:5" ht="13.8" x14ac:dyDescent="0.3">
      <c r="A3" s="4" t="s">
        <v>204</v>
      </c>
      <c r="B3" s="4" t="s">
        <v>205</v>
      </c>
      <c r="C3" s="4">
        <v>1.2999999999999999E-3</v>
      </c>
      <c r="E3" s="4" t="s">
        <v>206</v>
      </c>
    </row>
    <row r="4" spans="1:5" ht="13.8" x14ac:dyDescent="0.3">
      <c r="A4" s="4" t="s">
        <v>207</v>
      </c>
      <c r="B4" s="4" t="s">
        <v>153</v>
      </c>
      <c r="C4" s="4">
        <v>0.01</v>
      </c>
      <c r="E4" s="4" t="s">
        <v>208</v>
      </c>
    </row>
    <row r="5" spans="1:5" ht="13.8" x14ac:dyDescent="0.3">
      <c r="A5" s="4" t="s">
        <v>209</v>
      </c>
      <c r="B5" s="4" t="s">
        <v>174</v>
      </c>
      <c r="D5" s="4" t="e">
        <f>alpha * E_info / V_local</f>
        <v>#NAME?</v>
      </c>
      <c r="E5" s="4" t="s">
        <v>210</v>
      </c>
    </row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2.6640625" defaultRowHeight="15.75" customHeight="1" x14ac:dyDescent="0.25"/>
  <cols>
    <col min="1" max="6" width="7.6640625" customWidth="1"/>
  </cols>
  <sheetData>
    <row r="1" spans="1:4" ht="14.4" x14ac:dyDescent="0.25">
      <c r="A1" s="3" t="s">
        <v>211</v>
      </c>
      <c r="B1" s="3" t="s">
        <v>145</v>
      </c>
      <c r="C1" s="3" t="s">
        <v>212</v>
      </c>
      <c r="D1" s="3" t="s">
        <v>148</v>
      </c>
    </row>
    <row r="2" spans="1:4" ht="13.8" x14ac:dyDescent="0.3">
      <c r="A2" s="4" t="s">
        <v>213</v>
      </c>
      <c r="B2" s="4" t="s">
        <v>174</v>
      </c>
      <c r="C2" s="4">
        <f>DarkEnergy!J10 + Conscious!D4</f>
        <v>0</v>
      </c>
      <c r="D2" s="4" t="s">
        <v>214</v>
      </c>
    </row>
    <row r="3" spans="1:4" ht="13.8" x14ac:dyDescent="0.3">
      <c r="A3" s="4" t="s">
        <v>215</v>
      </c>
      <c r="B3" s="4" t="s">
        <v>174</v>
      </c>
      <c r="C3" s="4" t="e">
        <f>(8*PI()*DarkEnergy!D4*DarkEnergy!H8/3) - (DarkEnergy!F6*(DarkEnergy!D4^2)/(DarkEnergy!G7^2)) + Synth!A2</f>
        <v>#VALUE!</v>
      </c>
      <c r="D3" s="4" t="s">
        <v>216</v>
      </c>
    </row>
    <row r="4" spans="1:4" ht="13.8" x14ac:dyDescent="0.3">
      <c r="A4" s="4" t="s">
        <v>217</v>
      </c>
      <c r="B4" s="4" t="s">
        <v>153</v>
      </c>
      <c r="C4" s="4">
        <f>IF(Synth!B2 &gt; 0, Conscious!C3*1.001, Conscious!C3*0.999)</f>
        <v>1.3012999999999998E-3</v>
      </c>
      <c r="D4" s="4" t="s">
        <v>218</v>
      </c>
    </row>
    <row r="5" spans="1:4" ht="13.8" x14ac:dyDescent="0.3">
      <c r="A5" s="4" t="s">
        <v>219</v>
      </c>
      <c r="B5" s="4" t="s">
        <v>153</v>
      </c>
      <c r="C5" s="4" t="s">
        <v>220</v>
      </c>
      <c r="D5" s="4" t="s">
        <v>221</v>
      </c>
    </row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1.109375" customWidth="1"/>
    <col min="2" max="2" width="21.21875" customWidth="1"/>
    <col min="3" max="3" width="36.88671875" customWidth="1"/>
    <col min="4" max="4" width="16.6640625" customWidth="1"/>
    <col min="5" max="6" width="7.6640625" customWidth="1"/>
  </cols>
  <sheetData>
    <row r="1" spans="1:4" ht="22.5" customHeight="1" x14ac:dyDescent="0.25">
      <c r="A1" s="7" t="s">
        <v>222</v>
      </c>
      <c r="B1" s="7" t="s">
        <v>223</v>
      </c>
      <c r="C1" s="7" t="s">
        <v>224</v>
      </c>
      <c r="D1" s="7" t="s">
        <v>225</v>
      </c>
    </row>
    <row r="2" spans="1:4" ht="22.5" customHeight="1" x14ac:dyDescent="0.25">
      <c r="A2" s="8" t="s">
        <v>226</v>
      </c>
      <c r="B2" s="8" t="s">
        <v>27</v>
      </c>
      <c r="C2" s="8" t="s">
        <v>227</v>
      </c>
      <c r="D2" s="8" t="s">
        <v>228</v>
      </c>
    </row>
    <row r="3" spans="1:4" ht="22.5" customHeight="1" x14ac:dyDescent="0.25">
      <c r="A3" s="8" t="s">
        <v>229</v>
      </c>
      <c r="B3" s="8" t="s">
        <v>230</v>
      </c>
      <c r="C3" s="8" t="s">
        <v>231</v>
      </c>
      <c r="D3" s="8" t="s">
        <v>232</v>
      </c>
    </row>
    <row r="4" spans="1:4" ht="22.5" customHeight="1" x14ac:dyDescent="0.25">
      <c r="A4" s="8" t="s">
        <v>233</v>
      </c>
      <c r="B4" s="8" t="s">
        <v>29</v>
      </c>
      <c r="C4" s="8" t="s">
        <v>234</v>
      </c>
      <c r="D4" s="8" t="s">
        <v>235</v>
      </c>
    </row>
    <row r="5" spans="1:4" ht="22.5" customHeight="1" x14ac:dyDescent="0.25">
      <c r="A5" s="8" t="s">
        <v>236</v>
      </c>
      <c r="B5" s="8" t="s">
        <v>237</v>
      </c>
      <c r="C5" s="8" t="s">
        <v>238</v>
      </c>
      <c r="D5" s="8" t="s">
        <v>239</v>
      </c>
    </row>
    <row r="6" spans="1:4" ht="22.5" customHeight="1" x14ac:dyDescent="0.25">
      <c r="A6" s="8" t="s">
        <v>240</v>
      </c>
      <c r="B6" s="8" t="s">
        <v>241</v>
      </c>
      <c r="C6" s="8" t="s">
        <v>242</v>
      </c>
      <c r="D6" s="8" t="s">
        <v>243</v>
      </c>
    </row>
    <row r="7" spans="1:4" ht="22.5" customHeight="1" x14ac:dyDescent="0.25">
      <c r="A7" s="8" t="s">
        <v>244</v>
      </c>
      <c r="B7" s="8" t="s">
        <v>31</v>
      </c>
      <c r="C7" s="8" t="s">
        <v>245</v>
      </c>
      <c r="D7" s="8" t="s">
        <v>153</v>
      </c>
    </row>
    <row r="8" spans="1:4" ht="22.5" customHeight="1" x14ac:dyDescent="0.25">
      <c r="A8" s="8" t="s">
        <v>246</v>
      </c>
      <c r="B8" s="8" t="s">
        <v>247</v>
      </c>
      <c r="C8" s="8" t="s">
        <v>248</v>
      </c>
      <c r="D8" s="8" t="s">
        <v>174</v>
      </c>
    </row>
    <row r="9" spans="1:4" ht="22.5" customHeight="1" x14ac:dyDescent="0.25">
      <c r="A9" s="8" t="s">
        <v>249</v>
      </c>
      <c r="B9" s="8" t="s">
        <v>250</v>
      </c>
      <c r="C9" s="8" t="s">
        <v>251</v>
      </c>
      <c r="D9" s="8" t="s">
        <v>171</v>
      </c>
    </row>
    <row r="10" spans="1:4" ht="22.5" customHeight="1" x14ac:dyDescent="0.25">
      <c r="A10" s="8" t="s">
        <v>252</v>
      </c>
      <c r="B10" s="8" t="s">
        <v>253</v>
      </c>
      <c r="C10" s="8" t="s">
        <v>254</v>
      </c>
      <c r="D10" s="8" t="s">
        <v>153</v>
      </c>
    </row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2.6640625" defaultRowHeight="15.75" customHeight="1" x14ac:dyDescent="0.25"/>
  <cols>
    <col min="1" max="6" width="7.6640625" customWidth="1"/>
  </cols>
  <sheetData>
    <row r="1" spans="1:4" ht="14.4" x14ac:dyDescent="0.25">
      <c r="A1" s="3" t="s">
        <v>255</v>
      </c>
      <c r="B1" s="3" t="s">
        <v>256</v>
      </c>
      <c r="C1" s="3" t="s">
        <v>257</v>
      </c>
      <c r="D1" s="3" t="s">
        <v>148</v>
      </c>
    </row>
    <row r="2" spans="1:4" ht="13.8" x14ac:dyDescent="0.3">
      <c r="A2" s="4" t="s">
        <v>258</v>
      </c>
      <c r="B2" s="4" t="s">
        <v>259</v>
      </c>
      <c r="C2" s="4" t="s">
        <v>260</v>
      </c>
      <c r="D2" s="4" t="s">
        <v>261</v>
      </c>
    </row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Dashboard</vt:lpstr>
      <vt:lpstr>DarkEnergy</vt:lpstr>
      <vt:lpstr>BlackHoles</vt:lpstr>
      <vt:lpstr>QuantumField</vt:lpstr>
      <vt:lpstr>Conscious</vt:lpstr>
      <vt:lpstr>Synth</vt:lpstr>
      <vt:lpstr>Interface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Customer</dc:creator>
  <cp:lastModifiedBy>Antwan White</cp:lastModifiedBy>
  <dcterms:created xsi:type="dcterms:W3CDTF">2025-12-31T15:02:26Z</dcterms:created>
  <dcterms:modified xsi:type="dcterms:W3CDTF">2025-12-31T15:02:26Z</dcterms:modified>
</cp:coreProperties>
</file>